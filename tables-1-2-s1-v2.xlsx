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autoCompressPictures="0"/>
  <mc:AlternateContent xmlns:mc="http://schemas.openxmlformats.org/markup-compatibility/2006">
    <mc:Choice Requires="x15">
      <x15ac:absPath xmlns:x15ac="http://schemas.microsoft.com/office/spreadsheetml/2010/11/ac" url="/Users/Shared/Files From d.localized/SAIL/AB/Johan_260212会议/主要全新世数据/"/>
    </mc:Choice>
  </mc:AlternateContent>
  <xr:revisionPtr revIDLastSave="0" documentId="13_ncr:1_{87F704D5-E4CF-E545-B2D5-B8B4D4DC08F9}" xr6:coauthVersionLast="47" xr6:coauthVersionMax="47" xr10:uidLastSave="{00000000-0000-0000-0000-000000000000}"/>
  <bookViews>
    <workbookView xWindow="0" yWindow="760" windowWidth="24660" windowHeight="17080" tabRatio="828" xr2:uid="{00000000-000D-0000-FFFF-FFFF00000000}"/>
  </bookViews>
  <sheets>
    <sheet name="Table 1_sites" sheetId="1" r:id="rId1"/>
    <sheet name="Table 1_references" sheetId="4" r:id="rId2"/>
    <sheet name="Table 2_records" sheetId="3" r:id="rId3"/>
    <sheet name="Table S1_rejected" sheetId="2" r:id="rId4"/>
    <sheet name="Table S1_references" sheetId="5" r:id="rId5"/>
  </sheets>
  <definedNames>
    <definedName name="_xlnm.Print_Area" localSheetId="0">'Table 1_sites'!$A$1:$N$191</definedName>
    <definedName name="_xlnm.Print_Area" localSheetId="2">'Table 2_records'!$A$1:$J$344</definedName>
    <definedName name="_xlnm.Print_Area" localSheetId="3">'Table S1_rejected'!$A$1:$G$344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87" i="1" l="1"/>
  <c r="D187" i="1"/>
  <c r="E184" i="1"/>
  <c r="D184" i="1"/>
  <c r="E182" i="1"/>
  <c r="D182" i="1"/>
  <c r="D180" i="1"/>
  <c r="E172" i="1"/>
  <c r="D172" i="1"/>
  <c r="E171" i="1"/>
  <c r="D171" i="1"/>
  <c r="E170" i="1"/>
  <c r="D170" i="1"/>
  <c r="D167" i="1"/>
  <c r="E163" i="1"/>
  <c r="D163" i="1"/>
  <c r="D157" i="1"/>
  <c r="D155" i="1"/>
  <c r="D154" i="1"/>
  <c r="D151" i="1"/>
  <c r="E143" i="1"/>
  <c r="D143" i="1"/>
  <c r="D134" i="1"/>
  <c r="D133" i="1"/>
  <c r="D132" i="1"/>
  <c r="E130" i="1"/>
  <c r="D130" i="1"/>
  <c r="F126" i="1"/>
  <c r="E126" i="1"/>
  <c r="D126" i="1"/>
  <c r="E124" i="1"/>
  <c r="D124" i="1"/>
  <c r="D122" i="1"/>
  <c r="E120" i="1"/>
  <c r="D120" i="1"/>
  <c r="E116" i="1"/>
  <c r="D116" i="1"/>
  <c r="D113" i="1"/>
  <c r="D112" i="1"/>
  <c r="E107" i="1"/>
  <c r="D107" i="1"/>
  <c r="D104" i="1"/>
  <c r="D102" i="1"/>
  <c r="E101" i="1"/>
  <c r="D101" i="1"/>
  <c r="D99" i="1"/>
  <c r="E98" i="1"/>
  <c r="D98" i="1"/>
  <c r="D97" i="1"/>
  <c r="D94" i="1"/>
  <c r="D93" i="1"/>
  <c r="E89" i="1"/>
  <c r="D89" i="1"/>
  <c r="D87" i="1"/>
  <c r="D84" i="1"/>
  <c r="E82" i="1"/>
  <c r="D82" i="1"/>
  <c r="E73" i="1"/>
  <c r="D73" i="1"/>
  <c r="E71" i="1"/>
  <c r="D71" i="1"/>
  <c r="E69" i="1"/>
  <c r="D69" i="1"/>
  <c r="E67" i="1"/>
  <c r="D67" i="1"/>
  <c r="E56" i="1"/>
  <c r="D56" i="1"/>
  <c r="D53" i="1"/>
  <c r="E52" i="1"/>
  <c r="D52" i="1"/>
  <c r="E45" i="1"/>
  <c r="D45" i="1"/>
  <c r="D37" i="1"/>
  <c r="E36" i="1"/>
  <c r="D36" i="1"/>
  <c r="E34" i="1"/>
  <c r="D34" i="1"/>
  <c r="D30" i="1"/>
  <c r="E23" i="1"/>
  <c r="D23" i="1"/>
  <c r="B273" i="2"/>
  <c r="C273" i="2"/>
  <c r="C319" i="2"/>
  <c r="B319" i="2"/>
  <c r="C316" i="2"/>
  <c r="B316" i="2"/>
  <c r="C258" i="2"/>
  <c r="B258" i="2"/>
  <c r="C121" i="2"/>
  <c r="B121" i="2"/>
  <c r="C104" i="2"/>
  <c r="B104" i="2"/>
</calcChain>
</file>

<file path=xl/sharedStrings.xml><?xml version="1.0" encoding="utf-8"?>
<sst xmlns="http://schemas.openxmlformats.org/spreadsheetml/2006/main" count="6149" uniqueCount="1778">
  <si>
    <t>Notes:</t>
  </si>
  <si>
    <t>Oldest and youngest ages are in calendar years before 1950 AD (yr BP)</t>
  </si>
  <si>
    <t>Chron score = Geochronology accuracy score calculated using the formulas and weighting factors in Appendix A and the "14C material" type listed in the adjacent column</t>
  </si>
  <si>
    <t>Site</t>
  </si>
  <si>
    <t>General location</t>
  </si>
  <si>
    <t>Lat (°)</t>
  </si>
  <si>
    <t>Lon (°)</t>
  </si>
  <si>
    <t>Source</t>
  </si>
  <si>
    <t>Proxy</t>
  </si>
  <si>
    <t>Oldest (yr BP)</t>
  </si>
  <si>
    <t>Youngest (yr BP)</t>
  </si>
  <si>
    <t>Resolution (yr)</t>
  </si>
  <si>
    <t>14C material</t>
  </si>
  <si>
    <t>Chron-score</t>
  </si>
  <si>
    <t>Citation</t>
  </si>
  <si>
    <t>Alaska and Yukon</t>
  </si>
  <si>
    <t>andy</t>
  </si>
  <si>
    <t>Andy Lake</t>
  </si>
  <si>
    <t>Northwest Territory</t>
  </si>
  <si>
    <t>lake</t>
  </si>
  <si>
    <t>pollen</t>
  </si>
  <si>
    <t>Viau &amp; Gajewski 2009; Szeicz et al. 1995</t>
  </si>
  <si>
    <t>bells</t>
  </si>
  <si>
    <t>Bell's Lake</t>
  </si>
  <si>
    <t>candelabra</t>
  </si>
  <si>
    <t>Candelabra Lake</t>
  </si>
  <si>
    <t>Yukon</t>
  </si>
  <si>
    <t>Viau &amp; Gajewski 2009; Cwynar &amp; Spear 1995</t>
  </si>
  <si>
    <t>dune</t>
  </si>
  <si>
    <t>Dune Lake</t>
  </si>
  <si>
    <t>Interior Alaska</t>
  </si>
  <si>
    <t>d13C.bulk_organics</t>
  </si>
  <si>
    <t>Finney et al. 2012</t>
  </si>
  <si>
    <t>farewell</t>
  </si>
  <si>
    <t>Farewell Lake</t>
  </si>
  <si>
    <t>MgCa.ostracodes</t>
  </si>
  <si>
    <t>Hu et al. 1998</t>
  </si>
  <si>
    <t>GGC19</t>
  </si>
  <si>
    <t>GGC-19</t>
  </si>
  <si>
    <t>Chukchi Sea</t>
  </si>
  <si>
    <t>marine</t>
  </si>
  <si>
    <t>Farmer et al. 2011</t>
  </si>
  <si>
    <t>greyling</t>
  </si>
  <si>
    <t>Greyling Lake</t>
  </si>
  <si>
    <t>S Alaska</t>
  </si>
  <si>
    <t>OM</t>
  </si>
  <si>
    <t>hail</t>
  </si>
  <si>
    <t>Hail Lake</t>
  </si>
  <si>
    <t>hallet</t>
  </si>
  <si>
    <t>Hallet Lake</t>
  </si>
  <si>
    <t>HLY0501</t>
  </si>
  <si>
    <t>HLY0501-05</t>
  </si>
  <si>
    <t>dinocysts</t>
  </si>
  <si>
    <t>de Vernal et al. 2013</t>
  </si>
  <si>
    <t>honeymoon</t>
  </si>
  <si>
    <t>Honeymoon Pond</t>
  </si>
  <si>
    <t>Viau &amp; Gajewski 2009; Cwynar &amp; Spear 1991</t>
  </si>
  <si>
    <t>hudson</t>
  </si>
  <si>
    <t>Hudson Lake</t>
  </si>
  <si>
    <t>chironomids</t>
  </si>
  <si>
    <t>Clegg et al. 2011</t>
  </si>
  <si>
    <t>jellybean</t>
  </si>
  <si>
    <t>Jellybean Lake</t>
  </si>
  <si>
    <t>d18O.calcite</t>
  </si>
  <si>
    <t>Anderson et al. 2005</t>
  </si>
  <si>
    <t>kusawa</t>
  </si>
  <si>
    <t>Kusawa Lake</t>
  </si>
  <si>
    <t>SW Yukon</t>
  </si>
  <si>
    <t>BSi</t>
  </si>
  <si>
    <t>Chakraborty et al. 2010</t>
  </si>
  <si>
    <t>lily</t>
  </si>
  <si>
    <t>Lily Lake</t>
  </si>
  <si>
    <t>Alaska</t>
  </si>
  <si>
    <t>Cwynar 1990</t>
  </si>
  <si>
    <t>logan</t>
  </si>
  <si>
    <t>Mt Logan</t>
  </si>
  <si>
    <t>ice</t>
  </si>
  <si>
    <t>d18O.ice</t>
  </si>
  <si>
    <t>NA</t>
  </si>
  <si>
    <t>Fisher et al. 2008</t>
  </si>
  <si>
    <t>lonespruce</t>
  </si>
  <si>
    <t>Lone Spruce Pond</t>
  </si>
  <si>
    <t>SW Alaska</t>
  </si>
  <si>
    <t>Kaufman et al. 2012</t>
  </si>
  <si>
    <t>mica</t>
  </si>
  <si>
    <t>Mica Lake</t>
  </si>
  <si>
    <t>d18O.diatom</t>
  </si>
  <si>
    <t>meleze</t>
  </si>
  <si>
    <t>Lac Meleze</t>
  </si>
  <si>
    <t>moose</t>
  </si>
  <si>
    <t>Moose Lake</t>
  </si>
  <si>
    <t>Clegg et al. 2010</t>
  </si>
  <si>
    <t>P1B3</t>
  </si>
  <si>
    <t>P1/B3</t>
  </si>
  <si>
    <t>de Vernal et al. 2005</t>
  </si>
  <si>
    <t>quartz</t>
  </si>
  <si>
    <t>Quartz Lake</t>
  </si>
  <si>
    <t>rainbow</t>
  </si>
  <si>
    <t>Rainbow Lake</t>
  </si>
  <si>
    <t>ranger</t>
  </si>
  <si>
    <t>Ranger Lake</t>
  </si>
  <si>
    <t>Viau &amp; Gajewski 2009; Brubaker et al. 1983</t>
  </si>
  <si>
    <t>screaminglynx</t>
  </si>
  <si>
    <t>Screaming Lynx Lake</t>
  </si>
  <si>
    <t>takahula</t>
  </si>
  <si>
    <t>Takahula Lake</t>
  </si>
  <si>
    <t>Clegg &amp; Hu 2010</t>
  </si>
  <si>
    <t>trout</t>
  </si>
  <si>
    <t>Trout Lake - combined</t>
  </si>
  <si>
    <t>N Yukon</t>
  </si>
  <si>
    <t>Irvine et al. 2012</t>
  </si>
  <si>
    <t>upper_fly</t>
  </si>
  <si>
    <t>Upper Fly Lake</t>
  </si>
  <si>
    <t>S Yukon</t>
  </si>
  <si>
    <t>Bunbury &amp; Gajewski 2009</t>
  </si>
  <si>
    <t>waskey</t>
  </si>
  <si>
    <t>Waskey Lake</t>
  </si>
  <si>
    <t>Levy et al. 2004</t>
  </si>
  <si>
    <t>wolverine</t>
  </si>
  <si>
    <t>Wolverine Lake - April Core</t>
  </si>
  <si>
    <t>N Alaska</t>
  </si>
  <si>
    <t>MAR</t>
  </si>
  <si>
    <t>Mann et al. 2002</t>
  </si>
  <si>
    <t>Canadian islands and Greenland</t>
  </si>
  <si>
    <t>agassiz</t>
  </si>
  <si>
    <t>Agassiz</t>
  </si>
  <si>
    <t>Greenland</t>
  </si>
  <si>
    <t>Vinther et al. 2009</t>
  </si>
  <si>
    <t>Baffin Island</t>
  </si>
  <si>
    <t>ARC3</t>
  </si>
  <si>
    <t>ARC-3</t>
  </si>
  <si>
    <t>Barrow Strait</t>
  </si>
  <si>
    <t>IP25</t>
  </si>
  <si>
    <t>Vare 2009; Belt et al. 2010</t>
  </si>
  <si>
    <t>BC01</t>
  </si>
  <si>
    <t>Melville Peninsula</t>
  </si>
  <si>
    <t>Peros et al. 2010</t>
  </si>
  <si>
    <t>big_round</t>
  </si>
  <si>
    <t>Big Round Lake</t>
  </si>
  <si>
    <t>MS</t>
  </si>
  <si>
    <t>Thomas et al. 2010</t>
  </si>
  <si>
    <t>braya_so</t>
  </si>
  <si>
    <t>Braya Sø</t>
  </si>
  <si>
    <t>Kangerlussuaq</t>
  </si>
  <si>
    <t>alkenones</t>
  </si>
  <si>
    <t>century</t>
  </si>
  <si>
    <t>Camp Century</t>
  </si>
  <si>
    <t>DA05</t>
  </si>
  <si>
    <t>Kangersuneq fjord</t>
  </si>
  <si>
    <t>forams</t>
  </si>
  <si>
    <t>Lloyd 2007</t>
  </si>
  <si>
    <t>devon</t>
  </si>
  <si>
    <t>Devon Ice Cap</t>
  </si>
  <si>
    <t>Nunavut</t>
  </si>
  <si>
    <t>Fisher et al. 1983 (updated by author)</t>
  </si>
  <si>
    <t>Dye3</t>
  </si>
  <si>
    <t>Dye-3</t>
  </si>
  <si>
    <t>Vinther et al. 2006</t>
  </si>
  <si>
    <t>flower_valley</t>
  </si>
  <si>
    <t>Flower Valley Lake</t>
  </si>
  <si>
    <t>S Greenland</t>
  </si>
  <si>
    <t>dD</t>
  </si>
  <si>
    <t>Balascio et al. 2013</t>
  </si>
  <si>
    <t>GISP2</t>
  </si>
  <si>
    <t>Alley 2000</t>
  </si>
  <si>
    <t>GRIP</t>
  </si>
  <si>
    <t>hjort</t>
  </si>
  <si>
    <t>Hjort Lake</t>
  </si>
  <si>
    <t>Store Koldewey</t>
  </si>
  <si>
    <t>HU84</t>
  </si>
  <si>
    <t>HU84-030-021</t>
  </si>
  <si>
    <t>SW of Greenland</t>
  </si>
  <si>
    <t>HU90</t>
  </si>
  <si>
    <t>HU90-013-017</t>
  </si>
  <si>
    <t>HU91</t>
  </si>
  <si>
    <t>HU91-039-008 PC</t>
  </si>
  <si>
    <t>Baffin Bay</t>
  </si>
  <si>
    <t>igaliku</t>
  </si>
  <si>
    <t>Igaliku Lake</t>
  </si>
  <si>
    <t>Southern Greenland</t>
  </si>
  <si>
    <t>pollen.flux</t>
  </si>
  <si>
    <t>Massa et al. 2012</t>
  </si>
  <si>
    <t>iglutalik</t>
  </si>
  <si>
    <t>Iglutalk Lake</t>
  </si>
  <si>
    <t>jake</t>
  </si>
  <si>
    <t>Jake Lake</t>
  </si>
  <si>
    <t>Kerwin et al. 2004; Miller et al. 2005</t>
  </si>
  <si>
    <t>LS009</t>
  </si>
  <si>
    <t>2004-804-009</t>
  </si>
  <si>
    <t>Lancaster Sound</t>
  </si>
  <si>
    <t>Ledu et al. 2010; de Vernal et al. 2013</t>
  </si>
  <si>
    <t>MD99-2227</t>
  </si>
  <si>
    <t>naujg1</t>
  </si>
  <si>
    <t>NAUJG1-1</t>
  </si>
  <si>
    <t>W Greenland</t>
  </si>
  <si>
    <t>mineral.content</t>
  </si>
  <si>
    <t>Willemse &amp; Törnqvist 1999</t>
  </si>
  <si>
    <t>NGRIP</t>
  </si>
  <si>
    <t>Vinther et al. 2006; NorthGRIP members 2004</t>
  </si>
  <si>
    <t>north</t>
  </si>
  <si>
    <t>North Lake</t>
  </si>
  <si>
    <t>Axford et al. 2013</t>
  </si>
  <si>
    <t>penny</t>
  </si>
  <si>
    <t>Penny Ice Cap</t>
  </si>
  <si>
    <t>Fisher et al. 1998</t>
  </si>
  <si>
    <t>Qipisarqo Lake</t>
  </si>
  <si>
    <t>renland</t>
  </si>
  <si>
    <t>Renland</t>
  </si>
  <si>
    <t>d18O</t>
  </si>
  <si>
    <t>sfl4-1</t>
  </si>
  <si>
    <t>SFL-1</t>
  </si>
  <si>
    <t>SP02</t>
  </si>
  <si>
    <t>Adams &amp; Finkelstein 2010</t>
  </si>
  <si>
    <t>SS1381</t>
  </si>
  <si>
    <t>OM.flux, mineral.flux</t>
  </si>
  <si>
    <t>Anderson et al. 2012</t>
  </si>
  <si>
    <t>SS16</t>
  </si>
  <si>
    <t>diatoms</t>
  </si>
  <si>
    <t>Perren et al. 2012</t>
  </si>
  <si>
    <t>SS49</t>
  </si>
  <si>
    <t>SS8</t>
  </si>
  <si>
    <t>mineral.flux, OM.flux</t>
  </si>
  <si>
    <t>Fennoscandia</t>
  </si>
  <si>
    <t>arapisto</t>
  </si>
  <si>
    <t>Arapisto</t>
  </si>
  <si>
    <t>S Finland</t>
  </si>
  <si>
    <t>Sarmaja-Korjonen &amp; Seppä 2007</t>
  </si>
  <si>
    <t>austerkjosen</t>
  </si>
  <si>
    <t>Austerkjosen</t>
  </si>
  <si>
    <t>Seppä et al. 2009</t>
  </si>
  <si>
    <t>berkut</t>
  </si>
  <si>
    <t>Berkut</t>
  </si>
  <si>
    <t>Ilyashuk et al. 2005</t>
  </si>
  <si>
    <t>bjornfjelltjorn</t>
  </si>
  <si>
    <t>Bjørnfjelltjørn</t>
  </si>
  <si>
    <t>N Norway</t>
  </si>
  <si>
    <t>Seppä et al. 2009; Brooks 2006</t>
  </si>
  <si>
    <t>brurskardstjorni</t>
  </si>
  <si>
    <t>Brurskardstjørni</t>
  </si>
  <si>
    <t>S Norway</t>
  </si>
  <si>
    <t>Velle et al. 2005</t>
  </si>
  <si>
    <t>chuna</t>
  </si>
  <si>
    <t>Chuna Lake</t>
  </si>
  <si>
    <t>Jones et al. 2004; Solovieva et al. 2005</t>
  </si>
  <si>
    <t>dalene</t>
  </si>
  <si>
    <t>Dalene</t>
  </si>
  <si>
    <t>Eide et al. 2006; Seppä et al. 2009</t>
  </si>
  <si>
    <t>dalmutladdo</t>
  </si>
  <si>
    <t>Dalmutladdo</t>
  </si>
  <si>
    <t>Bjune et al. 2004</t>
  </si>
  <si>
    <t>dravladalsvatn</t>
  </si>
  <si>
    <t>Dravladalsvatn</t>
  </si>
  <si>
    <t>DBD</t>
  </si>
  <si>
    <t>Bakke et al. 2005</t>
  </si>
  <si>
    <t>fauske</t>
  </si>
  <si>
    <t>Fauske</t>
  </si>
  <si>
    <t>speleothem</t>
  </si>
  <si>
    <t>Linge et al. 2009</t>
  </si>
  <si>
    <t>fiskebolvatnet</t>
  </si>
  <si>
    <t>Fiskebølvatnet</t>
  </si>
  <si>
    <t>NW Norway</t>
  </si>
  <si>
    <t>mass.flux</t>
  </si>
  <si>
    <t>Balascio &amp; Bradley 2012</t>
  </si>
  <si>
    <t>flarken</t>
  </si>
  <si>
    <t>Flarken</t>
  </si>
  <si>
    <t>C Sweden</t>
  </si>
  <si>
    <t>Seppä et al. 2005</t>
  </si>
  <si>
    <t>flotatjonn</t>
  </si>
  <si>
    <t>Flotatjønn</t>
  </si>
  <si>
    <t>gammelheimvatnet</t>
  </si>
  <si>
    <t>Gammelheimvatnet</t>
  </si>
  <si>
    <t>gilltjarnen</t>
  </si>
  <si>
    <t>Gilltjärnen</t>
  </si>
  <si>
    <t>Antonsson et al. 2006</t>
  </si>
  <si>
    <t>gloppsjon</t>
  </si>
  <si>
    <t>Lilla Gloppsjön</t>
  </si>
  <si>
    <t>grostjorn</t>
  </si>
  <si>
    <t>Grostjørna</t>
  </si>
  <si>
    <t>gunnarsfjorden</t>
  </si>
  <si>
    <t>Over Gunnarsfjorden</t>
  </si>
  <si>
    <t>Allen et al. 2007</t>
  </si>
  <si>
    <t>haugtjern</t>
  </si>
  <si>
    <t>Haugtjern</t>
  </si>
  <si>
    <t>Velle et al. 2005; Eide et al. 2006; Seppä et al. 2009</t>
  </si>
  <si>
    <t>holebudalen</t>
  </si>
  <si>
    <t>Holebudalen</t>
  </si>
  <si>
    <t>igelsjon</t>
  </si>
  <si>
    <t>Igelsjön</t>
  </si>
  <si>
    <t>Hammarlund et al. 2003</t>
  </si>
  <si>
    <t>isbenttjonn</t>
  </si>
  <si>
    <t>Isbenttjønn</t>
  </si>
  <si>
    <t>jarburvatnet</t>
  </si>
  <si>
    <t>Jarburvatnet</t>
  </si>
  <si>
    <t>SW Norway</t>
  </si>
  <si>
    <t>OM,MS</t>
  </si>
  <si>
    <t>Nesje et al. 2001</t>
  </si>
  <si>
    <t>kinnshaugen</t>
  </si>
  <si>
    <t>Kinnshaugen</t>
  </si>
  <si>
    <t>kjennsvatn</t>
  </si>
  <si>
    <t>Austre Kjennsvatnet</t>
  </si>
  <si>
    <t>Bakke et al. 2010</t>
  </si>
  <si>
    <t>klotjarnen</t>
  </si>
  <si>
    <t>Klotjärnen</t>
  </si>
  <si>
    <t>kortlanda</t>
  </si>
  <si>
    <t>Kortlandamossen1</t>
  </si>
  <si>
    <t>peat</t>
  </si>
  <si>
    <t>Borgmark &amp; Wastegård 2008</t>
  </si>
  <si>
    <t>KP2</t>
  </si>
  <si>
    <t>KP-2</t>
  </si>
  <si>
    <t>Seppä et al. 2008; Seppä et al. 2009</t>
  </si>
  <si>
    <t>laihalampi</t>
  </si>
  <si>
    <t>Laihalampi</t>
  </si>
  <si>
    <t>Heikkilä &amp; Seppä 2003</t>
  </si>
  <si>
    <t>lake850</t>
  </si>
  <si>
    <t>N Sweden</t>
  </si>
  <si>
    <t>Larouque &amp; Bigler 2004; Shemesh et al. 2001</t>
  </si>
  <si>
    <t>lapland</t>
  </si>
  <si>
    <t>tree</t>
  </si>
  <si>
    <t>width</t>
  </si>
  <si>
    <t>Helama et al. 2010</t>
  </si>
  <si>
    <t>liltlvatn</t>
  </si>
  <si>
    <t>Litlvatnet</t>
  </si>
  <si>
    <t>myrvatn</t>
  </si>
  <si>
    <t>Myrvatnet</t>
  </si>
  <si>
    <t>nattmalsvatn</t>
  </si>
  <si>
    <t>Nattmålsvatn</t>
  </si>
  <si>
    <t>SE Norway</t>
  </si>
  <si>
    <t>Janbu et al. 2011</t>
  </si>
  <si>
    <t>nautajarvi</t>
  </si>
  <si>
    <t>Nautajärvi</t>
  </si>
  <si>
    <t>Ojala et al. 2008; Seppä et al. 2009</t>
  </si>
  <si>
    <t>nerfloen</t>
  </si>
  <si>
    <t>Nerfloen</t>
  </si>
  <si>
    <t>W Norway</t>
  </si>
  <si>
    <t>Vasskog et al. 2012</t>
  </si>
  <si>
    <t>njakajaure</t>
  </si>
  <si>
    <t>Voulep Njakajaure</t>
  </si>
  <si>
    <t>Bigler et al. 2006; Barnekow et al. 1998</t>
  </si>
  <si>
    <t>njulla</t>
  </si>
  <si>
    <t>Njulla</t>
  </si>
  <si>
    <t>Bigler et al. 2003</t>
  </si>
  <si>
    <t>oykjamyrtjorn</t>
  </si>
  <si>
    <t>Vestre Økjamyrttjørn</t>
  </si>
  <si>
    <t>Bjune et al. 2005; Velle et al. 2005</t>
  </si>
  <si>
    <t>raigastvere</t>
  </si>
  <si>
    <t>Raigastvere</t>
  </si>
  <si>
    <t>Estonia</t>
  </si>
  <si>
    <t>Seppä &amp; Poska 2004</t>
  </si>
  <si>
    <t>ratasjoen</t>
  </si>
  <si>
    <t>Råtasjøen</t>
  </si>
  <si>
    <t>reiarsdalsvatnet</t>
  </si>
  <si>
    <t>Reiarsdalvatnet</t>
  </si>
  <si>
    <t>ruila</t>
  </si>
  <si>
    <t>Ruila</t>
  </si>
  <si>
    <t>rystad</t>
  </si>
  <si>
    <t>Rystad 1</t>
  </si>
  <si>
    <t>humification_index</t>
  </si>
  <si>
    <t>Vorren et al. 2012</t>
  </si>
  <si>
    <t>saarikko</t>
  </si>
  <si>
    <t>Saarikko</t>
  </si>
  <si>
    <t>E Finland</t>
  </si>
  <si>
    <t>Heikkilä et al. 2010</t>
  </si>
  <si>
    <t>sellevollmyra</t>
  </si>
  <si>
    <t>Sellevollmyra</t>
  </si>
  <si>
    <t>Vorren et al. 2007</t>
  </si>
  <si>
    <t>sjuuodjijaure</t>
  </si>
  <si>
    <t>Sjuodjijaure</t>
  </si>
  <si>
    <t>Rosén et al. 2001</t>
  </si>
  <si>
    <t>soylegrotta</t>
  </si>
  <si>
    <t>Søylegrotta</t>
  </si>
  <si>
    <t>Lauritzen &amp; Lundberg 1999</t>
  </si>
  <si>
    <t>spaime</t>
  </si>
  <si>
    <t>Spåime</t>
  </si>
  <si>
    <t>Hammarlund et al. 2004; Velle et al. 2005</t>
  </si>
  <si>
    <t>stomyren</t>
  </si>
  <si>
    <t>Stömyren</t>
  </si>
  <si>
    <t>svanavatnet</t>
  </si>
  <si>
    <t>Svanåvatnet</t>
  </si>
  <si>
    <t>Bjune &amp; Birks 2008</t>
  </si>
  <si>
    <t>svartkalstjarn</t>
  </si>
  <si>
    <t>Svartkälstjärn</t>
  </si>
  <si>
    <t>NE Sweden</t>
  </si>
  <si>
    <t>St Amour et al. 2010</t>
  </si>
  <si>
    <t>svartvatnet</t>
  </si>
  <si>
    <t>Svartvatnet</t>
  </si>
  <si>
    <t>tiavatnet</t>
  </si>
  <si>
    <t>Tiåvatnet</t>
  </si>
  <si>
    <t>tibetanus</t>
  </si>
  <si>
    <t>Tibetanus</t>
  </si>
  <si>
    <t>Hammarlund et al. 2002</t>
  </si>
  <si>
    <t>tornetrask</t>
  </si>
  <si>
    <t>Torneträsk</t>
  </si>
  <si>
    <t>Grudd et al. 2002</t>
  </si>
  <si>
    <t>toskaljavri</t>
  </si>
  <si>
    <t>Toskaljavri</t>
  </si>
  <si>
    <t>N Finland</t>
  </si>
  <si>
    <t>Seppä &amp; Birks 2002; Seppä et al. 2002, 2009</t>
  </si>
  <si>
    <t>trehorningen</t>
  </si>
  <si>
    <t>Trehörningen</t>
  </si>
  <si>
    <t>Antonsson &amp; Seppä 2007</t>
  </si>
  <si>
    <t>trettetjorn</t>
  </si>
  <si>
    <t>Trettetjørn</t>
  </si>
  <si>
    <t>Bjune et al. 2005</t>
  </si>
  <si>
    <t>tsuolbmajavri</t>
  </si>
  <si>
    <t>Tsuolbmajavri</t>
  </si>
  <si>
    <t>vikjordvatnet</t>
  </si>
  <si>
    <t>Vikjordavatnet</t>
  </si>
  <si>
    <t>OM.flux</t>
  </si>
  <si>
    <t>vuoskkujavri</t>
  </si>
  <si>
    <t>Vuoskkujavri</t>
  </si>
  <si>
    <t>Bigler et al. 2002</t>
  </si>
  <si>
    <t>yarnyshnoe</t>
  </si>
  <si>
    <t>Yarnishnoe</t>
  </si>
  <si>
    <t>Seppä et al. 2008</t>
  </si>
  <si>
    <t>Mainland Canada</t>
  </si>
  <si>
    <t>2005-804</t>
  </si>
  <si>
    <t>2005‐804‐006</t>
  </si>
  <si>
    <t>Victoria Strait</t>
  </si>
  <si>
    <t>ARC4</t>
  </si>
  <si>
    <t>ARC-4</t>
  </si>
  <si>
    <t>Belt et al. 2010</t>
  </si>
  <si>
    <t>ARC5</t>
  </si>
  <si>
    <t>ARC-5</t>
  </si>
  <si>
    <t>Dease Strait</t>
  </si>
  <si>
    <t>ennadai</t>
  </si>
  <si>
    <t>Ennadai Lake</t>
  </si>
  <si>
    <t>Viau &amp; Gajewski 2009; Bender et al. 1967</t>
  </si>
  <si>
    <t>JR01</t>
  </si>
  <si>
    <t>Boothia Peninsula</t>
  </si>
  <si>
    <t>Zabenskie &amp; Gajewski 2007</t>
  </si>
  <si>
    <t>k2</t>
  </si>
  <si>
    <t>Lake K2</t>
  </si>
  <si>
    <t>N Québec</t>
  </si>
  <si>
    <t>Fallu et al. 2005</t>
  </si>
  <si>
    <t>KR02</t>
  </si>
  <si>
    <t>Victoria Island</t>
  </si>
  <si>
    <t>Peros &amp; Gajewski 2008</t>
  </si>
  <si>
    <t>LR01</t>
  </si>
  <si>
    <t>E Hudson Bay</t>
  </si>
  <si>
    <t>Gajewski et al 1993</t>
  </si>
  <si>
    <t>s53s52</t>
  </si>
  <si>
    <t>S52/S53</t>
  </si>
  <si>
    <t>Saskatchewan</t>
  </si>
  <si>
    <t>Tillman et al. 2010</t>
  </si>
  <si>
    <t>toronto</t>
  </si>
  <si>
    <t>Toronto Lake</t>
  </si>
  <si>
    <t>C Canada</t>
  </si>
  <si>
    <t>d18O.cellulose</t>
  </si>
  <si>
    <t>unit</t>
  </si>
  <si>
    <t>Unit Lake</t>
  </si>
  <si>
    <t>W Hudson Bay</t>
  </si>
  <si>
    <t>ARM/IRM</t>
  </si>
  <si>
    <t>Camill et al. 2012</t>
  </si>
  <si>
    <t>whatever</t>
  </si>
  <si>
    <t>Whatever Lake</t>
  </si>
  <si>
    <t>North Atlantic and Iceland</t>
  </si>
  <si>
    <t>B997-321</t>
  </si>
  <si>
    <t>W Iceland</t>
  </si>
  <si>
    <t>d18O.foram</t>
  </si>
  <si>
    <t>Smith et al. 2005</t>
  </si>
  <si>
    <t>GIK23258</t>
  </si>
  <si>
    <t>GIK23258-2/3</t>
  </si>
  <si>
    <t>Norwegian Sea</t>
  </si>
  <si>
    <t>Sarnthein et al. 2003</t>
  </si>
  <si>
    <t>haukdalsvatn</t>
  </si>
  <si>
    <t>Haukdalsvatn</t>
  </si>
  <si>
    <t>Iceland</t>
  </si>
  <si>
    <t>Geirsdottir et al. 2013; Larsen et al. 2012</t>
  </si>
  <si>
    <t>hvitarvatn</t>
  </si>
  <si>
    <t>Hvitarvatn</t>
  </si>
  <si>
    <t>JM01-1199</t>
  </si>
  <si>
    <t>T88-2, JM01-1199</t>
  </si>
  <si>
    <t>Hald et al. 2007</t>
  </si>
  <si>
    <t>JM96-1207</t>
  </si>
  <si>
    <t>Denmark Strait</t>
  </si>
  <si>
    <t>JR51-GC35</t>
  </si>
  <si>
    <t>North of Iceland</t>
  </si>
  <si>
    <t>Bendle &amp; Rosell-Melé 2007</t>
  </si>
  <si>
    <t>LO09</t>
  </si>
  <si>
    <t>LO09-14</t>
  </si>
  <si>
    <t>Reykjanes Ridge</t>
  </si>
  <si>
    <t>Berner et al. 2008</t>
  </si>
  <si>
    <t>MD95-2011</t>
  </si>
  <si>
    <t>MD95-2011, JM997-948/2A BC</t>
  </si>
  <si>
    <t>Berner et al. 2010; Calvo et al. 2002; Andersson et al. 2003; Risebrobakken et al. 2003</t>
  </si>
  <si>
    <t>MD95-2015</t>
  </si>
  <si>
    <t>Northeast  Atlantic</t>
  </si>
  <si>
    <t>Giraudeau et al. 2000; Marchal et al. 2002</t>
  </si>
  <si>
    <t>MD99-2256</t>
  </si>
  <si>
    <t>SW Iceland</t>
  </si>
  <si>
    <t>MD99-2264</t>
  </si>
  <si>
    <t>NW Iceland</t>
  </si>
  <si>
    <t>MD99-2269</t>
  </si>
  <si>
    <t>Justwan et al. 2008</t>
  </si>
  <si>
    <t>MD99-2317</t>
  </si>
  <si>
    <t>SE Greenland Shelf</t>
  </si>
  <si>
    <t>Jennings et al. 2011</t>
  </si>
  <si>
    <t>MD99-2322</t>
  </si>
  <si>
    <t>mjauvotn</t>
  </si>
  <si>
    <t>Mjáuvötn</t>
  </si>
  <si>
    <t>Faroe Islands</t>
  </si>
  <si>
    <t>Olsen et al. 2010</t>
  </si>
  <si>
    <t>MSM05-712</t>
  </si>
  <si>
    <t>MSM5/5-712-2</t>
  </si>
  <si>
    <t>Fram Strait</t>
  </si>
  <si>
    <t>Müller et al. 2012; de Vernal et al. 2013</t>
  </si>
  <si>
    <t>MSM05-723</t>
  </si>
  <si>
    <t>MSM5/5-723-2</t>
  </si>
  <si>
    <t>Müller et al. 2012</t>
  </si>
  <si>
    <t>ODP-684</t>
  </si>
  <si>
    <t>ODP 684</t>
  </si>
  <si>
    <t>Bjørn Drift</t>
  </si>
  <si>
    <t>Came et al. 2007</t>
  </si>
  <si>
    <t>P1003</t>
  </si>
  <si>
    <t>Sejrup et al. 2011</t>
  </si>
  <si>
    <t>PS2641</t>
  </si>
  <si>
    <t>PS2641-4</t>
  </si>
  <si>
    <t>E Greenland Shelf</t>
  </si>
  <si>
    <t>RAPID-12</t>
  </si>
  <si>
    <t>RAPID-12-1k</t>
  </si>
  <si>
    <t>Thournally et al. 2009</t>
  </si>
  <si>
    <t>Troll28-03</t>
  </si>
  <si>
    <t>Troll 28-03</t>
  </si>
  <si>
    <t>North Sea</t>
  </si>
  <si>
    <t>Russian Arctic</t>
  </si>
  <si>
    <t>dolgoe</t>
  </si>
  <si>
    <t>Dolgoe Lake</t>
  </si>
  <si>
    <t>Wolfe et al. 2000</t>
  </si>
  <si>
    <t>kharinei</t>
  </si>
  <si>
    <t>Lake Kharinei</t>
  </si>
  <si>
    <t>NE Russia</t>
  </si>
  <si>
    <t>Jones et al. 2011; Salonen et al. 2011</t>
  </si>
  <si>
    <t>lyadhej-to</t>
  </si>
  <si>
    <t>Lake Lyadhej-To</t>
  </si>
  <si>
    <t>PL-96</t>
  </si>
  <si>
    <t>PL-96-112 BC</t>
  </si>
  <si>
    <t>sysy-kyuele</t>
  </si>
  <si>
    <t>Lake Sysy-Kyuele</t>
  </si>
  <si>
    <t>Biskaborn et al. 2012</t>
  </si>
  <si>
    <t>See Table 1 for explanation of puncutation and abbreviations for proxy types</t>
  </si>
  <si>
    <t>Reason for rejection</t>
  </si>
  <si>
    <t>2004-804-803</t>
  </si>
  <si>
    <t>Bringué &amp; Rochon 2012</t>
  </si>
  <si>
    <t>does not cover 6-2 ka</t>
  </si>
  <si>
    <t>Angal</t>
  </si>
  <si>
    <t>Brubaker et al. 1983</t>
  </si>
  <si>
    <t>&gt;3000 yr between ages</t>
  </si>
  <si>
    <t>Arolik</t>
  </si>
  <si>
    <t>Hu et al. 2003</t>
  </si>
  <si>
    <t>Beach</t>
  </si>
  <si>
    <t>Rowe et al. 1975</t>
  </si>
  <si>
    <t>extends to only 3.2 ka</t>
  </si>
  <si>
    <t>Beaver</t>
  </si>
  <si>
    <t>Kaltenrieder et al. 2011</t>
  </si>
  <si>
    <t>Burial</t>
  </si>
  <si>
    <t>Abbott et al. 2010; Kurek et al. 2009a</t>
  </si>
  <si>
    <t>resolution &gt;400 yr</t>
  </si>
  <si>
    <t>JPC5</t>
  </si>
  <si>
    <t>Brachfield et al. 2009</t>
  </si>
  <si>
    <t>no clear climate interpretation</t>
  </si>
  <si>
    <t>Crowsnest</t>
  </si>
  <si>
    <t>Anderson &amp; Brubaker 1994</t>
  </si>
  <si>
    <t>Etivlik</t>
  </si>
  <si>
    <t>unpublished</t>
  </si>
  <si>
    <t>Girdwood bogs</t>
  </si>
  <si>
    <t>Ager et al. 2010</t>
  </si>
  <si>
    <t>Glacial</t>
  </si>
  <si>
    <t>Goat</t>
  </si>
  <si>
    <t>Daigle &amp; Kaufman 2009</t>
  </si>
  <si>
    <t>Grizzly</t>
  </si>
  <si>
    <t>pollen, charcoal</t>
  </si>
  <si>
    <t>Hanging</t>
  </si>
  <si>
    <t>Kurek et al. 2009b</t>
  </si>
  <si>
    <t>Harding</t>
  </si>
  <si>
    <t>Ager 1983</t>
  </si>
  <si>
    <t>Headwaters</t>
  </si>
  <si>
    <t>Healy</t>
  </si>
  <si>
    <t>Hidden</t>
  </si>
  <si>
    <t>Rymer &amp; Sims 1982</t>
  </si>
  <si>
    <t>Iceberg (5 cores)</t>
  </si>
  <si>
    <t>varve.thickness</t>
  </si>
  <si>
    <t>Diedrich &amp; Loso 2012</t>
  </si>
  <si>
    <t>extends to only 1.0 ka</t>
  </si>
  <si>
    <t>Jan</t>
  </si>
  <si>
    <t>Carlson &amp; Finney 2004</t>
  </si>
  <si>
    <t>Joe</t>
  </si>
  <si>
    <t>Anderson PM 1988</t>
  </si>
  <si>
    <t>Johnson River Bog</t>
  </si>
  <si>
    <t>Ager 1975</t>
  </si>
  <si>
    <t>Kaiyak</t>
  </si>
  <si>
    <t>Anderson 1985</t>
  </si>
  <si>
    <t>Keche</t>
  </si>
  <si>
    <t>d18O.calcite, carbonate, XRD, MS, OM</t>
  </si>
  <si>
    <t>Chipman et al. 2012</t>
  </si>
  <si>
    <t>extends to only 3.4 ka</t>
  </si>
  <si>
    <t>Keele</t>
  </si>
  <si>
    <t>Szeicz et al. 1995</t>
  </si>
  <si>
    <t>Kepler</t>
  </si>
  <si>
    <t>Gonyo et al. 2012</t>
  </si>
  <si>
    <t>extends to only 0.8 ka</t>
  </si>
  <si>
    <t>Kollioksak</t>
  </si>
  <si>
    <t>Lateral</t>
  </si>
  <si>
    <t>Ritchie 1982</t>
  </si>
  <si>
    <t>Little Swift</t>
  </si>
  <si>
    <t>pollen, OM</t>
  </si>
  <si>
    <t>Axford &amp; Kaufman 2004</t>
  </si>
  <si>
    <t>Maria</t>
  </si>
  <si>
    <t>Ritchie 1977</t>
  </si>
  <si>
    <t>Meli</t>
  </si>
  <si>
    <t>d18O.cell</t>
  </si>
  <si>
    <t>Anderson et al. 2001</t>
  </si>
  <si>
    <t>not continuous from 6-2 ka</t>
  </si>
  <si>
    <t>Minakokosa</t>
  </si>
  <si>
    <t>Munday Creek</t>
  </si>
  <si>
    <t>Peteet 1986</t>
  </si>
  <si>
    <t>Natla Bog</t>
  </si>
  <si>
    <t>MacDonald 1983</t>
  </si>
  <si>
    <t>Niliq</t>
  </si>
  <si>
    <t>pollen, macrofossils</t>
  </si>
  <si>
    <t>Okpilak</t>
  </si>
  <si>
    <t>LOI, MS, pollen</t>
  </si>
  <si>
    <t>Oswald et al. 2012</t>
  </si>
  <si>
    <t>no clear climate interpretaton</t>
  </si>
  <si>
    <t>P1-92-AR-B4</t>
  </si>
  <si>
    <t>Paradox</t>
  </si>
  <si>
    <t>Anderson et al. 2006</t>
  </si>
  <si>
    <t>Ped</t>
  </si>
  <si>
    <t>Edwards &amp; Brukaker 1986</t>
  </si>
  <si>
    <t>PI-92-AR-BC15</t>
  </si>
  <si>
    <t>Point Woronzof Peat Section</t>
  </si>
  <si>
    <t>Miller &amp; Dobrovolny 1959</t>
  </si>
  <si>
    <t>Puyuk</t>
  </si>
  <si>
    <t>Ager &amp; Bradbury 1982</t>
  </si>
  <si>
    <t>Qaluuraq</t>
  </si>
  <si>
    <t>Ra</t>
  </si>
  <si>
    <t>MacDonald 1987</t>
  </si>
  <si>
    <t>Rantin - A-06</t>
  </si>
  <si>
    <t>OM, carbonate, MS, macrofossils</t>
  </si>
  <si>
    <t>Pompeani et al. 2012</t>
  </si>
  <si>
    <t>Rebel</t>
  </si>
  <si>
    <t>Ager &amp; Brubaker 1985</t>
  </si>
  <si>
    <t>Redstone</t>
  </si>
  <si>
    <t>Edwards et al. 1985</t>
  </si>
  <si>
    <t>Reindeer</t>
  </si>
  <si>
    <t>Spear 1993</t>
  </si>
  <si>
    <t>Ruppert</t>
  </si>
  <si>
    <t>Sakana</t>
  </si>
  <si>
    <t>Screaming Yellowlegs</t>
  </si>
  <si>
    <t>Sleet</t>
  </si>
  <si>
    <t>Sulphur</t>
  </si>
  <si>
    <t>Lacourse &amp; Gajewski 2000</t>
  </si>
  <si>
    <t>Swanson Fen</t>
  </si>
  <si>
    <t>pollen, d13C.organics</t>
  </si>
  <si>
    <t>Tangle s</t>
  </si>
  <si>
    <t>extends to only 5.4 ka</t>
  </si>
  <si>
    <t>Tangled Up</t>
  </si>
  <si>
    <t>Ten Mile</t>
  </si>
  <si>
    <t>Anderson et al. 1994</t>
  </si>
  <si>
    <t>Tiinkdhul</t>
  </si>
  <si>
    <t>Anderson et al. 1988</t>
  </si>
  <si>
    <t>Tuktoyaktuk 5</t>
  </si>
  <si>
    <t>Ritchie &amp; Hare 1971</t>
  </si>
  <si>
    <t>Tukuto</t>
  </si>
  <si>
    <t>Oswald et al. 1999</t>
  </si>
  <si>
    <t>Tyrrell</t>
  </si>
  <si>
    <t>Wien</t>
  </si>
  <si>
    <t>Hu et al. 1993</t>
  </si>
  <si>
    <t>Windmill</t>
  </si>
  <si>
    <t>Bigelow &amp; Edwards 2001</t>
  </si>
  <si>
    <t>Wonder</t>
  </si>
  <si>
    <t>Zagoskin</t>
  </si>
  <si>
    <t>Kurek et al. 2009a</t>
  </si>
  <si>
    <t>2005-804-004</t>
  </si>
  <si>
    <t>&gt;200 st deviation in resolution</t>
  </si>
  <si>
    <t>74MS11</t>
  </si>
  <si>
    <t>Gajewski et al. 2000</t>
  </si>
  <si>
    <t>74MS15</t>
  </si>
  <si>
    <t>Amarok</t>
  </si>
  <si>
    <t>AT1</t>
  </si>
  <si>
    <t>OM, MAR, XRF</t>
  </si>
  <si>
    <t>coastal site not climate sensitive</t>
  </si>
  <si>
    <t>AT4</t>
  </si>
  <si>
    <t>Ayr</t>
  </si>
  <si>
    <t>Thomas et al. 2012</t>
  </si>
  <si>
    <t>extends to only 0.5 ka</t>
  </si>
  <si>
    <t>Baird Inlet [Rock Basin ]</t>
  </si>
  <si>
    <t>Lamb 1984</t>
  </si>
  <si>
    <t>Gajewski &amp; Garralla 1992</t>
  </si>
  <si>
    <t>Richard 1981</t>
  </si>
  <si>
    <t>Bliss</t>
  </si>
  <si>
    <t>d13C, TOC</t>
  </si>
  <si>
    <t>Brother of Fog</t>
  </si>
  <si>
    <t>CF3</t>
  </si>
  <si>
    <t>Briner et al. 2006</t>
  </si>
  <si>
    <t>CF8</t>
  </si>
  <si>
    <t>Axford et al. 2009</t>
  </si>
  <si>
    <t>core 004</t>
  </si>
  <si>
    <t>Ledu et al. 2010</t>
  </si>
  <si>
    <t>DA06-139G</t>
  </si>
  <si>
    <t>forams, dinoflagellates</t>
  </si>
  <si>
    <t>extends to only 5.2 ka</t>
  </si>
  <si>
    <t>Devon Island Glacier</t>
  </si>
  <si>
    <t>glacier</t>
  </si>
  <si>
    <t>Duck</t>
  </si>
  <si>
    <t>chironmids</t>
  </si>
  <si>
    <t>Klug et al. 2009; Schmidt 2011</t>
  </si>
  <si>
    <t>Dyer Lower</t>
  </si>
  <si>
    <t>Kerwin et al. 2004</t>
  </si>
  <si>
    <t>E</t>
  </si>
  <si>
    <t>extends to only 5.6 ka</t>
  </si>
  <si>
    <t>East</t>
  </si>
  <si>
    <t>varves, PSA</t>
  </si>
  <si>
    <t>Lapointe et al. 2012</t>
  </si>
  <si>
    <t>extends to only 2.8 ka</t>
  </si>
  <si>
    <t>Fish  (CA:Nunavut)</t>
  </si>
  <si>
    <t>Fishtote</t>
  </si>
  <si>
    <t>OM, MS</t>
  </si>
  <si>
    <t>Fog</t>
  </si>
  <si>
    <t>Joynt &amp; Wolfe 2001</t>
  </si>
  <si>
    <t>extends to only 4.8 ka</t>
  </si>
  <si>
    <t>HU-93-034-015</t>
  </si>
  <si>
    <t>HU021</t>
  </si>
  <si>
    <t>HU91-039-012</t>
  </si>
  <si>
    <t>Levac et al. 2001</t>
  </si>
  <si>
    <t>Iceboom</t>
  </si>
  <si>
    <t>Axford et al., 2013</t>
  </si>
  <si>
    <t>Iglo Door</t>
  </si>
  <si>
    <t>PWWL</t>
  </si>
  <si>
    <t>Richard 1977</t>
  </si>
  <si>
    <t>RS29</t>
  </si>
  <si>
    <t>RS36</t>
  </si>
  <si>
    <t>Kay 1979</t>
  </si>
  <si>
    <t>Lower Murray</t>
  </si>
  <si>
    <t>Cook et al. 2009</t>
  </si>
  <si>
    <t>extends to only 5.3 ka</t>
  </si>
  <si>
    <t>Lower Nordbosø</t>
  </si>
  <si>
    <t>OM, MS, K, Ti, Si</t>
  </si>
  <si>
    <t>Larsen et al. 2011</t>
  </si>
  <si>
    <t>Muskox</t>
  </si>
  <si>
    <t>Naujg1</t>
  </si>
  <si>
    <t>Willemse &amp; Tornqvist 1999</t>
  </si>
  <si>
    <t>Peep</t>
  </si>
  <si>
    <t>Pluto</t>
  </si>
  <si>
    <t>Prince of Wales Ice field</t>
  </si>
  <si>
    <t>density</t>
  </si>
  <si>
    <t>Kinnard et al. 2008</t>
  </si>
  <si>
    <t>extends to only 1 ka</t>
  </si>
  <si>
    <t>PW02</t>
  </si>
  <si>
    <t>Finkelstein &amp; Gajewski 2008</t>
  </si>
  <si>
    <t>Raffles Sø</t>
  </si>
  <si>
    <t>SP04</t>
  </si>
  <si>
    <t>SS1220</t>
  </si>
  <si>
    <t>Fe, Mn, Ca, Ti</t>
  </si>
  <si>
    <t>SS32</t>
  </si>
  <si>
    <t>OM, diatoms</t>
  </si>
  <si>
    <t>SS85</t>
  </si>
  <si>
    <t>OM, MS, Ti Ca, Ti, S</t>
  </si>
  <si>
    <t>Olsen et al. 2013</t>
  </si>
  <si>
    <t>WB02</t>
  </si>
  <si>
    <t>Fortin &amp; Gajewski 2010</t>
  </si>
  <si>
    <t>Alanen Laanjärvi</t>
  </si>
  <si>
    <t>Aspvatnet</t>
  </si>
  <si>
    <t>Barheivatn</t>
  </si>
  <si>
    <t>insufficient chronology</t>
  </si>
  <si>
    <t>Danntjørn</t>
  </si>
  <si>
    <t>Nesje et al. 2004</t>
  </si>
  <si>
    <t>youngest age is 2.9 ka</t>
  </si>
  <si>
    <t>Finse stationsdamm</t>
  </si>
  <si>
    <t>Fågelmossen 1&amp;2</t>
  </si>
  <si>
    <t>HI</t>
  </si>
  <si>
    <t>Hopseidet</t>
  </si>
  <si>
    <t>Jeknajaure</t>
  </si>
  <si>
    <t>Rosén et al. 2003</t>
  </si>
  <si>
    <t>Jirvijärvi</t>
  </si>
  <si>
    <t>Luoto 2010</t>
  </si>
  <si>
    <t>Kuivajärvi</t>
  </si>
  <si>
    <t>Kupalnoe</t>
  </si>
  <si>
    <t>Ilyashuk et al. 2013</t>
  </si>
  <si>
    <t>Lilla Backsjömyren</t>
  </si>
  <si>
    <t>Andersson &amp; Schonning 2010</t>
  </si>
  <si>
    <t>extends to only 4 ka</t>
  </si>
  <si>
    <t>Lille Kjelavatn</t>
  </si>
  <si>
    <t>Niak</t>
  </si>
  <si>
    <t>Poteryanny Zub</t>
  </si>
  <si>
    <t>Wolfe et al. 2003</t>
  </si>
  <si>
    <t>Seukokjaure</t>
  </si>
  <si>
    <t>chironomids, diatoms, pollen</t>
  </si>
  <si>
    <t>extends to only 3 ka</t>
  </si>
  <si>
    <t>Viitna</t>
  </si>
  <si>
    <t>Voulep Allakasjaure</t>
  </si>
  <si>
    <t>d18O.diatoms</t>
  </si>
  <si>
    <t>Rosqvist et al. 2004</t>
  </si>
  <si>
    <t>Big Round</t>
  </si>
  <si>
    <t>Thomas &amp; Briner 2009</t>
  </si>
  <si>
    <t>Baie du Diana</t>
  </si>
  <si>
    <t>Moser &amp; MacDonald 1990</t>
  </si>
  <si>
    <t>Cabin Creek</t>
  </si>
  <si>
    <t>thecamoebians</t>
  </si>
  <si>
    <t>Dallimore et al. 2000</t>
  </si>
  <si>
    <t>Coppermine Saddleback</t>
  </si>
  <si>
    <t>extends to only 3.7 ka</t>
  </si>
  <si>
    <t>Diana 375</t>
  </si>
  <si>
    <t>Donard</t>
  </si>
  <si>
    <t>Ennadai</t>
  </si>
  <si>
    <t>chironmids, diatoms</t>
  </si>
  <si>
    <t>superceeded by a more recent record</t>
  </si>
  <si>
    <t>pollen, d18O.cell</t>
  </si>
  <si>
    <t>Kerwin et al. 2004; Joynt &amp; Wolfe 2001</t>
  </si>
  <si>
    <t>Hail</t>
  </si>
  <si>
    <t>Cwynar &amp; Spear 1995</t>
  </si>
  <si>
    <t>Hebron</t>
  </si>
  <si>
    <t>Hikwa</t>
  </si>
  <si>
    <t>Kerwin et al. 2004; Mode &amp; Jacobs 1987</t>
  </si>
  <si>
    <t>Iglutalik</t>
  </si>
  <si>
    <t>Lichti-Federovich 1975</t>
  </si>
  <si>
    <t>Kate's Pond</t>
  </si>
  <si>
    <t>Ritchie &amp; Harrison 1993</t>
  </si>
  <si>
    <t>Lac Ciel Blanc</t>
  </si>
  <si>
    <t>Nichols 1975</t>
  </si>
  <si>
    <t>Lac de l'Aéroport</t>
  </si>
  <si>
    <t>chironomids, BSi, OM</t>
  </si>
  <si>
    <t>Saulnier-Talbot &amp; Prientz 2010</t>
  </si>
  <si>
    <t>Lac Demain</t>
  </si>
  <si>
    <t>Lac Faribault</t>
  </si>
  <si>
    <t>only extends to 4.9 ka</t>
  </si>
  <si>
    <t>Athabaska</t>
  </si>
  <si>
    <t>C/N</t>
  </si>
  <si>
    <t>Wolfe et al. 2011</t>
  </si>
  <si>
    <t>LR3</t>
  </si>
  <si>
    <t>LT1</t>
  </si>
  <si>
    <t>Maria</t>
  </si>
  <si>
    <t>McMaster</t>
  </si>
  <si>
    <t>Short et al. 1994</t>
  </si>
  <si>
    <t>Nicol</t>
  </si>
  <si>
    <t>Bender 1978</t>
  </si>
  <si>
    <t>Nipingngajulik</t>
  </si>
  <si>
    <t>Queen's</t>
  </si>
  <si>
    <t>diatoms, pollen, isotopes</t>
  </si>
  <si>
    <t>Pienitz et al. 1999</t>
  </si>
  <si>
    <t>Rivière-aux-Feuilles 1</t>
  </si>
  <si>
    <t>Rivière-aux-Feuilles 2</t>
  </si>
  <si>
    <t>Robinson</t>
  </si>
  <si>
    <t>Miller et al. 1999</t>
  </si>
  <si>
    <t>Sleet</t>
  </si>
  <si>
    <t>Slipper</t>
  </si>
  <si>
    <t>cladocera</t>
  </si>
  <si>
    <t>Sweetman et al. 2008</t>
  </si>
  <si>
    <t>VNIRS-DOC</t>
  </si>
  <si>
    <t>Rouillard et al. 2011</t>
  </si>
  <si>
    <t>Slow River</t>
  </si>
  <si>
    <t>extends to only 4.2 ka</t>
  </si>
  <si>
    <t>South</t>
  </si>
  <si>
    <t>Square</t>
  </si>
  <si>
    <t>pollen, diatoms</t>
  </si>
  <si>
    <t>Clark et al.1989</t>
  </si>
  <si>
    <t>Station 803</t>
  </si>
  <si>
    <t>Bringué &amp; Rochon 2012</t>
  </si>
  <si>
    <t>extends to only 4.6 ka</t>
  </si>
  <si>
    <t>Sweet Little</t>
  </si>
  <si>
    <t>Thompson Landing</t>
  </si>
  <si>
    <t>TK-2</t>
  </si>
  <si>
    <t>diatoms, pollen</t>
  </si>
  <si>
    <t>Paul et al. 2010</t>
  </si>
  <si>
    <t>Tourbière de la Rivière-aux-Feuilles</t>
  </si>
  <si>
    <t>extends to only 5.7 ka</t>
  </si>
  <si>
    <t>Tuk-5</t>
  </si>
  <si>
    <t>Ritchie &amp; Hare 1971; MacDonald &amp; Ritchie 1986</t>
  </si>
  <si>
    <t>Twin Tamarack</t>
  </si>
  <si>
    <t>UCLA/TK-20</t>
  </si>
  <si>
    <t>pollen, LOI</t>
  </si>
  <si>
    <t>Huang et al. 2004</t>
  </si>
  <si>
    <t>Vhc1</t>
  </si>
  <si>
    <t>Wild Spear</t>
  </si>
  <si>
    <t>MacDonald &amp; Cwynar 1985</t>
  </si>
  <si>
    <t>91-039</t>
  </si>
  <si>
    <t>Levac et al. 2001</t>
  </si>
  <si>
    <t>B997-324</t>
  </si>
  <si>
    <t>B997-327</t>
  </si>
  <si>
    <t>Solignac et al. 2006</t>
  </si>
  <si>
    <t>B997-347</t>
  </si>
  <si>
    <t>d18O.forams</t>
  </si>
  <si>
    <t>Fox04G/05R</t>
  </si>
  <si>
    <t>forams, XRF, grain size</t>
  </si>
  <si>
    <t>extends to only 5.8 ka</t>
  </si>
  <si>
    <t>GIK23323-1</t>
  </si>
  <si>
    <t>HM102</t>
  </si>
  <si>
    <t>Kjennbakken et al. 2011; Sejrup et al. 2001</t>
  </si>
  <si>
    <t>HM03-133-25</t>
  </si>
  <si>
    <t>Solignac et al. 2008</t>
  </si>
  <si>
    <t>HM57-5</t>
  </si>
  <si>
    <t>Koc et al. 1993</t>
  </si>
  <si>
    <t>HU91-045-052</t>
  </si>
  <si>
    <t>de Vernal &amp; Hillaire-Marcel 2006</t>
  </si>
  <si>
    <t>HU91-045-072</t>
  </si>
  <si>
    <t>JM06-16A</t>
  </si>
  <si>
    <t>Zamelczyk et al. 2012</t>
  </si>
  <si>
    <t>JM06-WP-16</t>
  </si>
  <si>
    <t>JM98-845-PC</t>
  </si>
  <si>
    <t>Rasmussen et al. 2012</t>
  </si>
  <si>
    <t>Knudsenheia</t>
  </si>
  <si>
    <t>OM, MS, diatoms</t>
  </si>
  <si>
    <t>Jiang et al. 2011</t>
  </si>
  <si>
    <t>extends to only 3.0 ka</t>
  </si>
  <si>
    <t>Kongressvatnet</t>
  </si>
  <si>
    <t>extends to only 1.8 ka</t>
  </si>
  <si>
    <t>Litla Vidarvatn</t>
  </si>
  <si>
    <t>Axford et al. 2007</t>
  </si>
  <si>
    <t>Lomonosovfonna</t>
  </si>
  <si>
    <t>Divine et al. 2011</t>
  </si>
  <si>
    <t>extends to only 1.2 ka</t>
  </si>
  <si>
    <t>MD99-2304</t>
  </si>
  <si>
    <t>MSM5/5-712</t>
  </si>
  <si>
    <t>Spielhagen et al. 2011; Werner et al. 2011</t>
  </si>
  <si>
    <t>extends to only 2 ka</t>
  </si>
  <si>
    <t>NP05-21</t>
  </si>
  <si>
    <t>Jernas et al. 2013</t>
  </si>
  <si>
    <t>extends to only 0.4 ka</t>
  </si>
  <si>
    <t>NP94-51</t>
  </si>
  <si>
    <t>extends to only 2.0 ka</t>
  </si>
  <si>
    <t>Stora Vidarvatn</t>
  </si>
  <si>
    <t>chironomids, BSi</t>
  </si>
  <si>
    <t>Torfdalsvatn</t>
  </si>
  <si>
    <t>09-Tik-03</t>
  </si>
  <si>
    <t>Biskaborn et al. 2013</t>
  </si>
  <si>
    <t>Billyakh</t>
  </si>
  <si>
    <t>Cape Sabler (SAO1)</t>
  </si>
  <si>
    <t>Andreev et al. 2003</t>
  </si>
  <si>
    <t>Dervanoi</t>
  </si>
  <si>
    <t>El'gygytgyn</t>
  </si>
  <si>
    <t>Melles et al. 2007</t>
  </si>
  <si>
    <t>Kazaché</t>
  </si>
  <si>
    <t>Andreev et al. 2001</t>
  </si>
  <si>
    <t>Khaipudurskaya</t>
  </si>
  <si>
    <t>Andreev &amp; Klimanov 2000</t>
  </si>
  <si>
    <t>Lama</t>
  </si>
  <si>
    <t>Andreev et al. 2004; Kumke et al. 2004</t>
  </si>
  <si>
    <t>Levison-Lessing</t>
  </si>
  <si>
    <t>Lletti</t>
  </si>
  <si>
    <t>Salonen 2012</t>
  </si>
  <si>
    <t>Mamontovy Khayata</t>
  </si>
  <si>
    <t>peat/fluvial</t>
  </si>
  <si>
    <t>Bobrov et al. 2004</t>
  </si>
  <si>
    <t>Middendorf</t>
  </si>
  <si>
    <t>extends to only 4.4 ka</t>
  </si>
  <si>
    <t>nikolay</t>
  </si>
  <si>
    <t>Andreev et al. 2004</t>
  </si>
  <si>
    <t>PL-96-112</t>
  </si>
  <si>
    <t>Voronina et al. 2001</t>
  </si>
  <si>
    <t>&gt;200 SD resolution</t>
  </si>
  <si>
    <t>PL-96-126</t>
  </si>
  <si>
    <t>Pur-Taz 91-4</t>
  </si>
  <si>
    <t>Taymyr</t>
  </si>
  <si>
    <t>Naurzbaev et al. 2002</t>
  </si>
  <si>
    <t>Temje</t>
  </si>
  <si>
    <t>Nazarova et al. 2013</t>
  </si>
  <si>
    <t>Tumbulovaty</t>
  </si>
  <si>
    <t>Salonen et al. 2011</t>
  </si>
  <si>
    <t>Yamal</t>
  </si>
  <si>
    <t>Khantemirov 2009</t>
  </si>
  <si>
    <t>See text for discussion of "proxy climate variable"</t>
  </si>
  <si>
    <t>vplR record = time series heading within the proxy data sheet</t>
  </si>
  <si>
    <t>Proxy climate variable</t>
  </si>
  <si>
    <t>Site short name</t>
  </si>
  <si>
    <t>vplR record</t>
  </si>
  <si>
    <t>Units</t>
  </si>
  <si>
    <t>Climate variable</t>
  </si>
  <si>
    <t>Climate variable detail</t>
  </si>
  <si>
    <t>Seasonality</t>
  </si>
  <si>
    <t>Relation</t>
  </si>
  <si>
    <t>precip</t>
  </si>
  <si>
    <t>mm</t>
  </si>
  <si>
    <t>annual</t>
  </si>
  <si>
    <t>MAT</t>
  </si>
  <si>
    <t>positive</t>
  </si>
  <si>
    <t>X</t>
  </si>
  <si>
    <t>temp</t>
  </si>
  <si>
    <t>°C</t>
  </si>
  <si>
    <t>air</t>
  </si>
  <si>
    <t>coldest</t>
  </si>
  <si>
    <t>warmest</t>
  </si>
  <si>
    <t>d13C</t>
  </si>
  <si>
    <t>permil</t>
  </si>
  <si>
    <t>negative</t>
  </si>
  <si>
    <t>Mg/Ca</t>
  </si>
  <si>
    <t>mmol/mol</t>
  </si>
  <si>
    <t>lake_surface</t>
  </si>
  <si>
    <t>summer</t>
  </si>
  <si>
    <t>sea_ice_months</t>
  </si>
  <si>
    <t>months/yr</t>
  </si>
  <si>
    <t>sea</t>
  </si>
  <si>
    <t>sea_ice_conc</t>
  </si>
  <si>
    <t>0-10</t>
  </si>
  <si>
    <t>salinity</t>
  </si>
  <si>
    <t>psu</t>
  </si>
  <si>
    <t>sea_surface</t>
  </si>
  <si>
    <t>winter</t>
  </si>
  <si>
    <t>bottomwater</t>
  </si>
  <si>
    <t>%</t>
  </si>
  <si>
    <t>ELA</t>
  </si>
  <si>
    <t>mg/g</t>
  </si>
  <si>
    <t>July</t>
  </si>
  <si>
    <t>WAPLS2</t>
  </si>
  <si>
    <t>mode</t>
  </si>
  <si>
    <t>Aleutian_low</t>
  </si>
  <si>
    <t>growing</t>
  </si>
  <si>
    <t>WAPLS</t>
  </si>
  <si>
    <t>bulk density</t>
  </si>
  <si>
    <t>g/cm3</t>
  </si>
  <si>
    <t>g/cm2/yr</t>
  </si>
  <si>
    <t>ice.melt</t>
  </si>
  <si>
    <t>ice_melt_fraction</t>
  </si>
  <si>
    <t>sun_frac</t>
  </si>
  <si>
    <t>unitless</t>
  </si>
  <si>
    <t>sun</t>
  </si>
  <si>
    <t>surface</t>
  </si>
  <si>
    <t>JJAS</t>
  </si>
  <si>
    <t>sun_frac_max</t>
  </si>
  <si>
    <t>sun_frac_min</t>
  </si>
  <si>
    <t>temp_max</t>
  </si>
  <si>
    <t>temp_min</t>
  </si>
  <si>
    <t>IP25_flux</t>
  </si>
  <si>
    <t>spring</t>
  </si>
  <si>
    <t>cgs</t>
  </si>
  <si>
    <t>extent</t>
  </si>
  <si>
    <t>max</t>
  </si>
  <si>
    <t>Uk37</t>
  </si>
  <si>
    <t>index</t>
  </si>
  <si>
    <t>sea_ice_diatoms</t>
  </si>
  <si>
    <t>CCA1</t>
  </si>
  <si>
    <t>sd units</t>
  </si>
  <si>
    <t>pollen_count</t>
  </si>
  <si>
    <t>RESP</t>
  </si>
  <si>
    <t>ROI</t>
  </si>
  <si>
    <t>WAT</t>
  </si>
  <si>
    <t>mineral.flux</t>
  </si>
  <si>
    <t>mineral_flux</t>
  </si>
  <si>
    <t>NAO</t>
  </si>
  <si>
    <t>January</t>
  </si>
  <si>
    <t>Fiskebolvatnet</t>
  </si>
  <si>
    <t>GDD</t>
  </si>
  <si>
    <t>grow_deg_day</t>
  </si>
  <si>
    <t>DA</t>
  </si>
  <si>
    <t>AET/PET</t>
  </si>
  <si>
    <t>abs</t>
  </si>
  <si>
    <t>linear</t>
  </si>
  <si>
    <t>m3/kg</t>
  </si>
  <si>
    <t>multi-proxyPCscore</t>
  </si>
  <si>
    <t>PC1</t>
  </si>
  <si>
    <t>SDF</t>
  </si>
  <si>
    <t>JJA</t>
  </si>
  <si>
    <t>OM_flux</t>
  </si>
  <si>
    <t>µg/cm2/yr</t>
  </si>
  <si>
    <t>PLS</t>
  </si>
  <si>
    <t>SST</t>
  </si>
  <si>
    <t>near_surface</t>
  </si>
  <si>
    <t>Bemise1998</t>
  </si>
  <si>
    <t>foraminifera.pl</t>
  </si>
  <si>
    <t>foram</t>
  </si>
  <si>
    <t>foraminifera</t>
  </si>
  <si>
    <t>Est_ML</t>
  </si>
  <si>
    <t>August</t>
  </si>
  <si>
    <t>Prahl1987</t>
  </si>
  <si>
    <t>Muller1998</t>
  </si>
  <si>
    <t>SBT</t>
  </si>
  <si>
    <t>temp&amp;precip</t>
  </si>
  <si>
    <t>Langen2005</t>
  </si>
  <si>
    <t>MJJA</t>
  </si>
  <si>
    <t>lyadhej-To</t>
  </si>
  <si>
    <t>MD99-2266</t>
  </si>
  <si>
    <t>MD99-2275</t>
  </si>
  <si>
    <t>forams, diatom</t>
  </si>
  <si>
    <t>rain+snow</t>
  </si>
  <si>
    <t>air&amp;rain+snow</t>
  </si>
  <si>
    <t>diatom_concentration</t>
  </si>
  <si>
    <t>1000*valves/g</t>
  </si>
  <si>
    <t>Voronina et al., 2001; de Vernal et al. 2013</t>
  </si>
  <si>
    <t>Solignac et al., 2006; de Vernal et al. 2013</t>
  </si>
  <si>
    <t>de Vernal and Hillaire-Marcel 2006; de Vernal et al. 2013</t>
  </si>
  <si>
    <t>Quillmann et al. 2010</t>
  </si>
  <si>
    <t xml:space="preserve">Ran et al. 2008 </t>
  </si>
  <si>
    <t>Schiff et al. 2009</t>
  </si>
  <si>
    <t>Kerwin et al. 2004; Davis 1980</t>
  </si>
  <si>
    <t>Wolfe et al. 1996; MacDonald et al. 1993</t>
  </si>
  <si>
    <t>Olsen et al. 2012b</t>
  </si>
  <si>
    <t>Olsen et al. 2012a</t>
  </si>
  <si>
    <t>Rosqvist et al. 2007</t>
  </si>
  <si>
    <t>Fréchette et al. 2006</t>
  </si>
  <si>
    <t>D'Andrea &amp; Huang 2005</t>
  </si>
  <si>
    <t>Kerwin et al. 2004; Richard 1981</t>
  </si>
  <si>
    <t>74MS12</t>
  </si>
  <si>
    <t>Andrews &amp; Nichols 1981</t>
  </si>
  <si>
    <t>Andresen et al. 2013</t>
  </si>
  <si>
    <t>D'Andrea et al. 2012</t>
  </si>
  <si>
    <t>Andreev et al. 2005</t>
  </si>
  <si>
    <t>Ólafsdóttir et al. 2010</t>
  </si>
  <si>
    <t>Schmidt et al. 2011</t>
  </si>
  <si>
    <t>Wooller et al. 2012</t>
  </si>
  <si>
    <t>Viau &amp; Gajewski 2009; MacDonald 1987</t>
  </si>
  <si>
    <t>Elias 1982</t>
  </si>
  <si>
    <t>Heinrichs et al. 2005; Seppä et al. 2009</t>
  </si>
  <si>
    <t>Andresen et al. 2011</t>
  </si>
  <si>
    <t>Banks Island 74MS11</t>
  </si>
  <si>
    <t>John Klondike Bog</t>
  </si>
  <si>
    <t>Banks Island 74MS15</t>
  </si>
  <si>
    <t>Banks Island 74MS12</t>
  </si>
  <si>
    <t>Grasvatn</t>
  </si>
  <si>
    <t>Frengstadsetra</t>
  </si>
  <si>
    <t>Blavasstjonn</t>
  </si>
  <si>
    <t>Masehjavri</t>
  </si>
  <si>
    <t>Mukkavaara</t>
  </si>
  <si>
    <t>Ylimysneva</t>
  </si>
  <si>
    <t>Ryonansuo</t>
  </si>
  <si>
    <t>Hirvilampi</t>
  </si>
  <si>
    <t>Kirkkosaari</t>
  </si>
  <si>
    <t>Tondi</t>
  </si>
  <si>
    <t>Aholami</t>
  </si>
  <si>
    <t>Kaarkotinlampi</t>
  </si>
  <si>
    <t>Mayralampi</t>
  </si>
  <si>
    <t>Antu Sinijarv</t>
  </si>
  <si>
    <t>Vohma Mire</t>
  </si>
  <si>
    <t>Imatu Mire</t>
  </si>
  <si>
    <t>Kalsa Mire</t>
  </si>
  <si>
    <t>Akuvaara</t>
  </si>
  <si>
    <t>Vasikkasuo</t>
  </si>
  <si>
    <t>Syrjalansuo</t>
  </si>
  <si>
    <t>Bruvatnet</t>
  </si>
  <si>
    <t>Suovalampi</t>
  </si>
  <si>
    <t>Kanjerjoki [kuusamo]</t>
  </si>
  <si>
    <t>Maanselansuo</t>
  </si>
  <si>
    <t>Landshaftnoe</t>
  </si>
  <si>
    <t>Ptichje</t>
  </si>
  <si>
    <t>Mezhgornoe</t>
  </si>
  <si>
    <t>Nosuo</t>
  </si>
  <si>
    <t>Domsvatnet</t>
  </si>
  <si>
    <t>Kepskoe</t>
  </si>
  <si>
    <t>Rugozero</t>
  </si>
  <si>
    <t>Shombashuo</t>
  </si>
  <si>
    <t>Zapovednoe</t>
  </si>
  <si>
    <t>Bezdonnoe</t>
  </si>
  <si>
    <t>Nenazvannoe</t>
  </si>
  <si>
    <t>Mustusuo</t>
  </si>
  <si>
    <t>Punozerka</t>
  </si>
  <si>
    <t>Koppalosuo</t>
  </si>
  <si>
    <t>Gotnavolok</t>
  </si>
  <si>
    <t>Nemino</t>
  </si>
  <si>
    <t>Glubokoe</t>
  </si>
  <si>
    <t>Zaruckoe</t>
  </si>
  <si>
    <t>Landruchie Mire</t>
  </si>
  <si>
    <t>Nizhnevartovsk</t>
  </si>
  <si>
    <t>Chesnok Peat</t>
  </si>
  <si>
    <t>Nizhnevartovskoye Exposure</t>
  </si>
  <si>
    <t>Entarnoye Peat Exposure</t>
  </si>
  <si>
    <t>Chabada</t>
  </si>
  <si>
    <t>Bugutakh Exposure</t>
  </si>
  <si>
    <t>Konus Exposure</t>
  </si>
  <si>
    <t>Selennyakhskaya-4 Exposure</t>
  </si>
  <si>
    <t>Kirgirlakh Stream</t>
  </si>
  <si>
    <t>D'andrea et al. 2011</t>
  </si>
  <si>
    <t>Dyanushka</t>
  </si>
  <si>
    <t>peat bog</t>
  </si>
  <si>
    <t>Werner et al. 2010</t>
  </si>
  <si>
    <t>Salym-Yugan</t>
  </si>
  <si>
    <t>unclear relation with climate</t>
  </si>
  <si>
    <t>Bugristoye</t>
  </si>
  <si>
    <t>yougest age = 4.7 ka</t>
  </si>
  <si>
    <t>Blyakhachuk &amp; Sulerzhitsky 1999</t>
  </si>
  <si>
    <t>Central Yakutia</t>
  </si>
  <si>
    <t>lake?</t>
  </si>
  <si>
    <t>Entarnoe</t>
  </si>
  <si>
    <t>Indigirka</t>
  </si>
  <si>
    <t>Karelia</t>
  </si>
  <si>
    <t>Lammin-Suo Bog</t>
  </si>
  <si>
    <t>Nikolsko-Lutinskoye Bog</t>
  </si>
  <si>
    <t>Penzhina</t>
  </si>
  <si>
    <t>Sakkala Bog</t>
  </si>
  <si>
    <t>Seb-boloto</t>
  </si>
  <si>
    <t>Shirinsky Mokh Bog</t>
  </si>
  <si>
    <t>Suo Bog</t>
  </si>
  <si>
    <t>67,00-67,84</t>
  </si>
  <si>
    <t>68,50-72,00</t>
  </si>
  <si>
    <t xml:space="preserve">Anderson &amp; Lozhkin 2002   </t>
  </si>
  <si>
    <t>Anderson &amp; Lozhkin 2001; Anderson et al. 1998;  Lozhkin &amp; Anderson 1995; Lozhkin et al. 1995</t>
  </si>
  <si>
    <t>Velichko et al. 1997</t>
  </si>
  <si>
    <t xml:space="preserve">Arkhipov et al. 1980; Neishtadt 1976; Anderson &amp; Lozhkin 2002 </t>
  </si>
  <si>
    <t xml:space="preserve">Stetsenko 1998; Anderson &amp; Lozhkin 2001  </t>
  </si>
  <si>
    <t>Arslanov et al. 1999</t>
  </si>
  <si>
    <t>Lozhkin et al. 2000; Anderson &amp; Lozhkin  2001</t>
  </si>
  <si>
    <t xml:space="preserve">Lozhkin et al. 1993   </t>
  </si>
  <si>
    <t>Kind 1974; Anderson et al. 1998; Lozhkin et al. 2000; Anderson &amp; Lozhkin 2001</t>
  </si>
  <si>
    <t xml:space="preserve">Neustadt &amp; Zelikson 1985   </t>
  </si>
  <si>
    <t xml:space="preserve">Tarasov et al. 1994; Andreev et al. 1989; Alekseev 1978 </t>
  </si>
  <si>
    <t xml:space="preserve">Lozhkin et al. 2001; Anderson &amp; Lozhkin 2002  </t>
  </si>
  <si>
    <t xml:space="preserve">Lozhkin et al. 2000; Anderson &amp; Lozhkin 2002  </t>
  </si>
  <si>
    <t>pollen, ELA</t>
  </si>
  <si>
    <t>minerogenic.matter</t>
  </si>
  <si>
    <t>chironomids, sediment.properties</t>
  </si>
  <si>
    <t>rock.magnetic.properties</t>
  </si>
  <si>
    <t>Tinner et al. 2006</t>
  </si>
  <si>
    <t xml:space="preserve">Gajewski et al. 2000   </t>
  </si>
  <si>
    <t xml:space="preserve">Matthews 1980   </t>
  </si>
  <si>
    <t xml:space="preserve">Brubaker et al. 1983   </t>
  </si>
  <si>
    <t>Ritchie 1984</t>
  </si>
  <si>
    <t xml:space="preserve">Elina 1981; Elina &amp; Filimonova 1996  </t>
  </si>
  <si>
    <t xml:space="preserve">Ramfjord 1979a; Ramfjord 1979b  </t>
  </si>
  <si>
    <t>Paus &amp; Jevne 1987</t>
  </si>
  <si>
    <t xml:space="preserve">Paus 1982   </t>
  </si>
  <si>
    <t>Rankama &amp; Vuorela 1988</t>
  </si>
  <si>
    <t>Parra-Vergara 1988;  Tarasov et al. 1994; Davydova et al. 1992; Khomutova 1989</t>
  </si>
  <si>
    <t xml:space="preserve">Vuorela 1981   </t>
  </si>
  <si>
    <t xml:space="preserve">Hicks 1975   </t>
  </si>
  <si>
    <t xml:space="preserve">Elina 1981   </t>
  </si>
  <si>
    <t>Tarasov et al. 1994; Khomutova 1989; Arslanov et al. 1970; Davydova 1986</t>
  </si>
  <si>
    <t xml:space="preserve">Khomutova 1989   </t>
  </si>
  <si>
    <t xml:space="preserve">Vasari 1965  </t>
  </si>
  <si>
    <t xml:space="preserve">Koivula 1987   </t>
  </si>
  <si>
    <t>Tarasov et al. 1994; Khomutova 1989; Arslanov 1992; Davydova et al. 1991</t>
  </si>
  <si>
    <t xml:space="preserve">Vuorela 1990, 1991  </t>
  </si>
  <si>
    <t xml:space="preserve">Rankama &amp; Vuorela 1988   </t>
  </si>
  <si>
    <t xml:space="preserve">Khomutova 1976, 1989; Khomutova &amp; Elina 1990 </t>
  </si>
  <si>
    <t>testate.amoebae</t>
  </si>
  <si>
    <t>varve.thickness; dD.leafwax</t>
  </si>
  <si>
    <t xml:space="preserve">Hyvärinen 1975   </t>
  </si>
  <si>
    <t xml:space="preserve">Hyvärinen 1976   </t>
  </si>
  <si>
    <t xml:space="preserve">Saarse &amp; Liiva 1995   </t>
  </si>
  <si>
    <r>
      <t>MS</t>
    </r>
    <r>
      <rPr>
        <sz val="11"/>
        <color rgb="FF000000"/>
        <rFont val="Arial"/>
        <family val="2"/>
        <charset val="1"/>
      </rPr>
      <t>,</t>
    </r>
    <r>
      <rPr>
        <sz val="11"/>
        <color rgb="FF000000"/>
        <rFont val="Arial"/>
        <family val="2"/>
        <charset val="1"/>
      </rPr>
      <t>OM</t>
    </r>
  </si>
  <si>
    <t>Cremer et al. 2001</t>
  </si>
  <si>
    <r>
      <t>Elina 1981; Elina &amp; Filimonova 1987</t>
    </r>
    <r>
      <rPr>
        <sz val="11"/>
        <color rgb="FF000000"/>
        <rFont val="Arial"/>
        <family val="2"/>
        <charset val="1"/>
      </rPr>
      <t xml:space="preserve">, </t>
    </r>
    <r>
      <rPr>
        <sz val="11"/>
        <color rgb="FF000000"/>
        <rFont val="Arial"/>
        <family val="2"/>
        <charset val="1"/>
      </rPr>
      <t>1996</t>
    </r>
  </si>
  <si>
    <r>
      <t>Arslanov et al</t>
    </r>
    <r>
      <rPr>
        <sz val="11"/>
        <color rgb="FF000000"/>
        <rFont val="Arial"/>
        <family val="2"/>
        <charset val="1"/>
      </rPr>
      <t>.</t>
    </r>
    <r>
      <rPr>
        <sz val="11"/>
        <color rgb="FF000000"/>
        <rFont val="Arial"/>
        <family val="2"/>
        <charset val="1"/>
      </rPr>
      <t xml:space="preserve"> 1996   </t>
    </r>
  </si>
  <si>
    <r>
      <t>Elina &amp;</t>
    </r>
    <r>
      <rPr>
        <sz val="11"/>
        <color rgb="FF000000"/>
        <rFont val="Arial"/>
        <family val="2"/>
        <charset val="1"/>
      </rPr>
      <t xml:space="preserve"> </t>
    </r>
    <r>
      <rPr>
        <sz val="11"/>
        <color rgb="FF000000"/>
        <rFont val="Arial"/>
        <family val="2"/>
        <charset val="1"/>
      </rPr>
      <t xml:space="preserve">Filimonova 1987   </t>
    </r>
  </si>
  <si>
    <r>
      <t>Huttunen</t>
    </r>
    <r>
      <rPr>
        <sz val="11"/>
        <color rgb="FF000000"/>
        <rFont val="Arial"/>
        <family val="2"/>
        <charset val="1"/>
      </rPr>
      <t xml:space="preserve"> </t>
    </r>
    <r>
      <rPr>
        <sz val="11"/>
        <color rgb="FF000000"/>
        <rFont val="Arial"/>
        <family val="2"/>
        <charset val="1"/>
      </rPr>
      <t xml:space="preserve">1990   </t>
    </r>
  </si>
  <si>
    <r>
      <t>Spear 1983</t>
    </r>
    <r>
      <rPr>
        <sz val="11"/>
        <color rgb="FF000000"/>
        <rFont val="Arial"/>
        <family val="2"/>
        <charset val="1"/>
      </rPr>
      <t>;</t>
    </r>
    <r>
      <rPr>
        <sz val="11"/>
        <color rgb="FF000000"/>
        <rFont val="Arial"/>
        <family val="2"/>
        <charset val="1"/>
      </rPr>
      <t xml:space="preserve"> MacDonald 1995</t>
    </r>
  </si>
  <si>
    <r>
      <t>Tarasov et al. 1994; Andreev et al</t>
    </r>
    <r>
      <rPr>
        <sz val="11"/>
        <color rgb="FF000000"/>
        <rFont val="Arial"/>
        <family val="2"/>
        <charset val="1"/>
      </rPr>
      <t>.</t>
    </r>
    <r>
      <rPr>
        <sz val="11"/>
        <color rgb="FF000000"/>
        <rFont val="Arial"/>
        <family val="2"/>
        <charset val="1"/>
      </rPr>
      <t xml:space="preserve"> 1989  </t>
    </r>
  </si>
  <si>
    <r>
      <t>Bakhareva</t>
    </r>
    <r>
      <rPr>
        <sz val="11"/>
        <color rgb="FF000000"/>
        <rFont val="Arial"/>
        <family val="2"/>
        <charset val="1"/>
      </rPr>
      <t xml:space="preserve"> </t>
    </r>
    <r>
      <rPr>
        <sz val="11"/>
        <color rgb="FF000000"/>
        <rFont val="Arial"/>
        <family val="2"/>
        <charset val="1"/>
      </rPr>
      <t>1985; Volkov et al. 1973; Volkova 1966; Anderson &amp; Lozhkin 2002</t>
    </r>
  </si>
  <si>
    <r>
      <t xml:space="preserve">Il'ina et al. 1985; Firsov et al. 1985; Neishtadt 1976; Anderson </t>
    </r>
    <r>
      <rPr>
        <sz val="11"/>
        <color rgb="FF000000"/>
        <rFont val="Arial"/>
        <family val="2"/>
        <charset val="1"/>
      </rPr>
      <t>&amp;</t>
    </r>
    <r>
      <rPr>
        <sz val="11"/>
        <color rgb="FF000000"/>
        <rFont val="Arial"/>
        <family val="2"/>
        <charset val="1"/>
      </rPr>
      <t xml:space="preserve"> Lozhkin 2002</t>
    </r>
  </si>
  <si>
    <r>
      <t xml:space="preserve">Anderson </t>
    </r>
    <r>
      <rPr>
        <sz val="11"/>
        <color rgb="FF000000"/>
        <rFont val="Arial"/>
        <family val="2"/>
        <charset val="1"/>
      </rPr>
      <t>&amp;</t>
    </r>
    <r>
      <rPr>
        <sz val="11"/>
        <color rgb="FF000000"/>
        <rFont val="Arial"/>
        <family val="2"/>
        <charset val="1"/>
      </rPr>
      <t xml:space="preserve"> Lozhkin 2002   </t>
    </r>
  </si>
  <si>
    <r>
      <t>Anderson</t>
    </r>
    <r>
      <rPr>
        <sz val="11"/>
        <color rgb="FF000000"/>
        <rFont val="Arial"/>
        <family val="2"/>
        <charset val="1"/>
      </rPr>
      <t xml:space="preserve"> et al.</t>
    </r>
    <r>
      <rPr>
        <sz val="11"/>
        <color rgb="FF000000"/>
        <rFont val="Arial"/>
        <family val="2"/>
        <charset val="1"/>
      </rPr>
      <t xml:space="preserve"> 1998</t>
    </r>
    <r>
      <rPr>
        <sz val="11"/>
        <color rgb="FF000000"/>
        <rFont val="Arial"/>
        <family val="2"/>
        <charset val="1"/>
      </rPr>
      <t>;</t>
    </r>
    <r>
      <rPr>
        <sz val="11"/>
        <color rgb="FF000000"/>
        <rFont val="Arial"/>
        <family val="2"/>
        <charset val="1"/>
      </rPr>
      <t xml:space="preserve"> Anderson</t>
    </r>
    <r>
      <rPr>
        <sz val="11"/>
        <color rgb="FF000000"/>
        <rFont val="Arial"/>
        <family val="2"/>
        <charset val="1"/>
      </rPr>
      <t xml:space="preserve"> &amp;</t>
    </r>
    <r>
      <rPr>
        <sz val="11"/>
        <color rgb="FF000000"/>
        <rFont val="Arial"/>
        <family val="2"/>
        <charset val="1"/>
      </rPr>
      <t xml:space="preserve"> Lozhkin 2002  </t>
    </r>
  </si>
  <si>
    <t>no digital data could be obtained</t>
  </si>
  <si>
    <t>Reason for rejection includes only one criterion; most records were rejected based on more than one reason</t>
  </si>
  <si>
    <t>likely insufficient resolution</t>
  </si>
  <si>
    <r>
      <t>hiatus between 6</t>
    </r>
    <r>
      <rPr>
        <sz val="11"/>
        <color rgb="FF000000"/>
        <rFont val="Arial"/>
        <family val="2"/>
        <charset val="1"/>
      </rPr>
      <t>.</t>
    </r>
    <r>
      <rPr>
        <sz val="11"/>
        <color rgb="FF000000"/>
        <rFont val="Arial"/>
        <family val="2"/>
        <charset val="1"/>
      </rPr>
      <t>5 and 0</t>
    </r>
    <r>
      <rPr>
        <sz val="11"/>
        <color rgb="FF000000"/>
        <rFont val="Arial"/>
        <family val="2"/>
        <charset val="1"/>
      </rPr>
      <t>.</t>
    </r>
    <r>
      <rPr>
        <sz val="11"/>
        <color rgb="FF000000"/>
        <rFont val="Arial"/>
        <family val="2"/>
        <charset val="1"/>
      </rPr>
      <t>6 ka</t>
    </r>
  </si>
  <si>
    <t>d13C.calcite, C/N, d18O.chironomids, chironomids, macros, MS</t>
  </si>
  <si>
    <t xml:space="preserve">Muskox </t>
  </si>
  <si>
    <t xml:space="preserve">Redondo </t>
  </si>
  <si>
    <t xml:space="preserve">Sweet Little </t>
  </si>
  <si>
    <t xml:space="preserve">Ilmen </t>
  </si>
  <si>
    <t xml:space="preserve">Kubenskoe </t>
  </si>
  <si>
    <t xml:space="preserve">Ladoga </t>
  </si>
  <si>
    <t xml:space="preserve">Onego </t>
  </si>
  <si>
    <t xml:space="preserve">Vishnevskoe </t>
  </si>
  <si>
    <t xml:space="preserve">Barchampe </t>
  </si>
  <si>
    <t xml:space="preserve">Long </t>
  </si>
  <si>
    <t>Chistoye  Exposure</t>
  </si>
  <si>
    <t xml:space="preserve">Elgennya </t>
  </si>
  <si>
    <t xml:space="preserve">Elikchan 4 </t>
  </si>
  <si>
    <t xml:space="preserve">Gek </t>
  </si>
  <si>
    <t xml:space="preserve">Glukhoye </t>
  </si>
  <si>
    <t xml:space="preserve">Goluboye </t>
  </si>
  <si>
    <t xml:space="preserve">Jack London </t>
  </si>
  <si>
    <t>Jack London  (Wrangle Island)</t>
  </si>
  <si>
    <t xml:space="preserve">Khomustakh </t>
  </si>
  <si>
    <t xml:space="preserve">Lesnoye </t>
  </si>
  <si>
    <t xml:space="preserve">Old Camp </t>
  </si>
  <si>
    <t xml:space="preserve">Priyatnoye </t>
  </si>
  <si>
    <t xml:space="preserve">Rock Island </t>
  </si>
  <si>
    <t xml:space="preserve">Smorodinovoye </t>
  </si>
  <si>
    <t xml:space="preserve">Sosednee </t>
  </si>
  <si>
    <t xml:space="preserve">Taloye </t>
  </si>
  <si>
    <t xml:space="preserve">Vishnevskoye </t>
  </si>
  <si>
    <t>Bol'shaya Kuropatoch'ya River</t>
  </si>
  <si>
    <t>Site short name = title of tab in excel spreadsheet - database with proxy and geochronology data</t>
  </si>
  <si>
    <t>Statistical detail abbreviations as follows: ML = Maximum Likelihood; MAT = Modern Analog Technique; RESP = Response Surface; PLS = Partial Least Squares;</t>
  </si>
  <si>
    <t>ftp://ftp.ncdc.noaa.gov/pub/data/paleo/pale/atlasdata/etivlik.txt</t>
  </si>
  <si>
    <t>http://www1.ncdc.noaa.gov/pub/data/paleo/pale/atlasdata/kollioks.txt</t>
  </si>
  <si>
    <t>ftp://ftp.ncdc.noaa.gov/pub/data/paleo/pale/metadata/minakoko.txt</t>
  </si>
  <si>
    <t>ftp://ftp.ncdc.noaa.gov/pub/data/paleo/pale/atlasdata/sakana.txt</t>
  </si>
  <si>
    <t>ftp://ftp.ncdc.noaa.gov/pub/data/paleo/pollen/asciifiles/fossil/ascfiles/gpd/tyrrell.txt</t>
  </si>
  <si>
    <t>ftp://ftp.ncdc.noaa.gov/pub/data/paleo/pollen/asciifiles/fossil/ascfiles/gpd/devon4.txt</t>
  </si>
  <si>
    <t>ftp://ftp.ncdc.noaa.gov/pub/data/paleo/pollen/asciifiles/fossil/ascfiles/epd/imatu.txt</t>
  </si>
  <si>
    <t>ftp://ftp.ncdc.noaa.gov/pub/data/paleo/pollen/asciifiles/fossil/ascfiles/epd/vohma.txt</t>
  </si>
  <si>
    <t>ftp://ftp.ncdc.noaa.gov/pub/data/paleo/pollen/asciifiles/fossil/p15files/gpd/barchamp_p15.txt</t>
  </si>
  <si>
    <t>ftp://ftp.ncdc.noaa.gov/pub/data/paleo/pollen/asciifiles/fossil/ascfiles/gpd/oldcamp.txt</t>
  </si>
  <si>
    <t>ftp://ftp.ncdc.noaa.gov/pub/data/paleo/site_maps/pollen.kmz</t>
  </si>
  <si>
    <t>Quantitative reconstruction</t>
  </si>
  <si>
    <r>
      <t>Table S1.</t>
    </r>
    <r>
      <rPr>
        <sz val="14"/>
        <color rgb="FF000000"/>
        <rFont val="Arial"/>
        <family val="2"/>
        <charset val="1"/>
      </rPr>
      <t xml:space="preserve"> Records considered but that did not meet the criteria for inclusion in this database.</t>
    </r>
  </si>
  <si>
    <t>El_Nino</t>
  </si>
  <si>
    <t>Fréchette &amp; de Vernal 2009</t>
  </si>
  <si>
    <t>Fréchette &amp; de Vernal 2009; Kaplan et al. 2002</t>
  </si>
  <si>
    <t>Bjune, A. E., and Birks, H. J. B.: Holocene vegetation dynamics and inferred climate changes at Svanåvatnet, Mo i Rana, northern Norway, Boreas, 37, 146-156, 2008.</t>
  </si>
  <si>
    <t>Davis, P. T.: Holocene vegetation and climate record from Iglutalik Lake, Cumberland Sound, Baffin Island, Northwest Territories, Canada, Ph.D. Thesis, University of Colorado, Boulder, 1980.</t>
  </si>
  <si>
    <t>Lauritzen, S.-E. and Lundberg, J.: Calibration of the speleothem delta function: an absolute temperature record for the Holocene in northern Norway, Holocene, 9, 659–669, 1999.</t>
  </si>
  <si>
    <t>Jones et al. 2009</t>
  </si>
  <si>
    <t>Andreev, A. A., Klimanov, V. A., Sulerzhitskii, L. D., and Khotinskii, N. A.: Chronology of environmental changes in central Yakutia during the Holocene, Paleoklimaty golotsena i pozdnelednikov'ya [Paleoclimates of Holocene and late glacial], 115-121, 1989.</t>
  </si>
  <si>
    <t>Khantemirov, R.M.: Динамика древесной растительности и изменения климата на севере западной Сибири в голоцене, PhD thesis, Ural Federal University, 271 pp, 2009.</t>
  </si>
  <si>
    <t>Lichti-Federovich, S.: Pollen analysis of surface snow from five Canadian Arctic ice caps, Geological Survey of Canada Paper, 75, 135-137, 1975.</t>
  </si>
  <si>
    <t>Matthews, J. V., Jr.: Paleoecology of John Klondike Bog, Fisherman Lake region, southwest district of Mackenzie, Geological Survey of Canada Paper 80-22, 1980.</t>
  </si>
  <si>
    <t>Parra-Vergara, I.: Analyse pollinique du bassin de Sobrestany (Girona, Catalunya): Action anthropique et changements climatiques pendant l'Holocone, Diplome EPHE Sciences, terre et vie, 96, 1988.</t>
  </si>
  <si>
    <t>Richard, P. J. H.: Paléophytogéographie postglaciaire en Ungava par l'analyse pollinique, Paleo-Quebec Trois-Rivières, 1-153, 1981.</t>
  </si>
  <si>
    <t>Spear, R.: Paleoecological approaches to a study of treeline fluctuations in the Mackenzie delta region, Northwest Territories: Preliminary results, Nordicana, 47, 61-72, 1983.</t>
  </si>
  <si>
    <t>Müller et al. 2009</t>
  </si>
  <si>
    <t>Schweger 1981</t>
  </si>
  <si>
    <t>Velichko et al. 1997; Andreev &amp; Klimanov 2000</t>
  </si>
  <si>
    <t>Korhola et al. 2000, 2002; Seppä &amp; Birks 2001, Seppä et al. 2009</t>
  </si>
  <si>
    <t>Massa, C., Perren, B.B., Gauthier, E., Bichet, V., Petit, C., and Richard, H.: A multiproxy evaluation of Holocene environmental change from Lake Igaliku, South Greenland, J. Paleolimnol., 4, 241-258, 2012.</t>
  </si>
  <si>
    <t>Ojala, A. E. K., Alenius, T., Seppä, H., and Giesecke, T.: Integrated varve and pollen-based temperature reconstruction from Finland: evidence for Holocene seasonal temperature patterns at high latitudes, Holocene, 18, 529-538, 2008.</t>
  </si>
  <si>
    <t>North Greenland Ice-Core Project (NorthGRIP) Members,: High resolution climate record of the Northern Hemisphere reaching into the last Glacial Interglacial Period, Nature, 431, 147–151, 2004.</t>
  </si>
  <si>
    <t>akvaqiak</t>
  </si>
  <si>
    <t>Akvaqiak Lake</t>
  </si>
  <si>
    <t>qipisargo</t>
  </si>
  <si>
    <t>Malangenfjord</t>
  </si>
  <si>
    <t>Husum &amp; Hald 2004</t>
  </si>
  <si>
    <t>N14</t>
  </si>
  <si>
    <t>Andresen et al. 2004</t>
  </si>
  <si>
    <t>Andresen et al. 2006</t>
  </si>
  <si>
    <t>NW Russia</t>
  </si>
  <si>
    <t>Lykjuvatn</t>
  </si>
  <si>
    <t>flux grains, BSi</t>
  </si>
  <si>
    <t>temp(&amp;wind)</t>
  </si>
  <si>
    <t>Starvatn</t>
  </si>
  <si>
    <t>malangen</t>
  </si>
  <si>
    <t>months/year with 50% ice cover</t>
  </si>
  <si>
    <t>moisture</t>
  </si>
  <si>
    <t>effective</t>
  </si>
  <si>
    <t>d13C.cellulose</t>
  </si>
  <si>
    <t>Methodological detail</t>
  </si>
  <si>
    <t>11775.79</t>
  </si>
  <si>
    <t>de Vernal et al. 2001. 2013</t>
  </si>
  <si>
    <t>Levac et al.. 2001;de Vernal et al. 2013</t>
  </si>
  <si>
    <t>de Vernal et al. 2013; McKay et al. 2008</t>
  </si>
  <si>
    <t>Klitgaard-Kristensen et al. 2001; Sejrup et al. 2004</t>
  </si>
  <si>
    <t xml:space="preserve">      SDF = Speleothem Delta Function; WAPLS = Weighted-Average Partial Least Squares</t>
  </si>
  <si>
    <t>Unit abbreviations as follows: smow = standard mean ocean water; pdb = pee dee belemnite; cgs = centimeter–gram–second system; psu  = practical salinity unit</t>
  </si>
  <si>
    <t>Climate variable explanations as follows: ELA = equilibrium-line altitude; eff = effective</t>
  </si>
  <si>
    <t>starvatn</t>
  </si>
  <si>
    <t>grain_size</t>
  </si>
  <si>
    <t>grain_flux</t>
  </si>
  <si>
    <t>grains&gt;255 µm/cm3</t>
  </si>
  <si>
    <t>Maardu</t>
  </si>
  <si>
    <t>Karujarv</t>
  </si>
  <si>
    <t>Boguda</t>
  </si>
  <si>
    <t>Hundre Sø</t>
  </si>
  <si>
    <t>shorelines</t>
  </si>
  <si>
    <t>Aebly &amp; Frtiz 2009</t>
  </si>
  <si>
    <t>DBD, OM</t>
  </si>
  <si>
    <t>XRF, d13C, TOC, N, C, S, MS</t>
  </si>
  <si>
    <t>flux_grains, BSi</t>
  </si>
  <si>
    <t>d18O.foram, Mg/Ca</t>
  </si>
  <si>
    <t>Bsi</t>
  </si>
  <si>
    <t>precipitation</t>
  </si>
  <si>
    <t>all</t>
  </si>
  <si>
    <r>
      <t>Gajewski &amp; Gar</t>
    </r>
    <r>
      <rPr>
        <sz val="11"/>
        <color rgb="FF000000"/>
        <rFont val="Arial"/>
        <family val="2"/>
        <charset val="1"/>
      </rPr>
      <t>r</t>
    </r>
    <r>
      <rPr>
        <sz val="11"/>
        <color rgb="FF000000"/>
        <rFont val="Arial"/>
        <family val="2"/>
        <charset val="1"/>
      </rPr>
      <t>alla 1992</t>
    </r>
  </si>
  <si>
    <r>
      <t>Pitkanen et al. 200</t>
    </r>
    <r>
      <rPr>
        <sz val="11"/>
        <color rgb="FF000000"/>
        <rFont val="Arial"/>
        <family val="2"/>
        <charset val="1"/>
      </rPr>
      <t>2</t>
    </r>
  </si>
  <si>
    <r>
      <t>Rühl</t>
    </r>
    <r>
      <rPr>
        <sz val="11"/>
        <color rgb="FF000000"/>
        <rFont val="Arial"/>
        <family val="2"/>
        <charset val="1"/>
      </rPr>
      <t>and</t>
    </r>
    <r>
      <rPr>
        <sz val="11"/>
        <color rgb="FF000000"/>
        <rFont val="Arial"/>
        <family val="2"/>
        <charset val="1"/>
      </rPr>
      <t xml:space="preserve"> &amp; Smol 2005</t>
    </r>
  </si>
  <si>
    <r>
      <t>Rühl</t>
    </r>
    <r>
      <rPr>
        <sz val="11"/>
        <color rgb="FF000000"/>
        <rFont val="Arial"/>
        <family val="2"/>
        <charset val="1"/>
      </rPr>
      <t>and</t>
    </r>
    <r>
      <rPr>
        <sz val="11"/>
        <color rgb="FF000000"/>
        <rFont val="Arial"/>
        <family val="2"/>
        <charset val="1"/>
      </rPr>
      <t xml:space="preserve"> et al. 2009</t>
    </r>
  </si>
  <si>
    <r>
      <t>Saarse et al. 199</t>
    </r>
    <r>
      <rPr>
        <sz val="11"/>
        <color rgb="FF000000"/>
        <rFont val="Arial"/>
        <family val="2"/>
        <charset val="1"/>
      </rPr>
      <t>0a</t>
    </r>
  </si>
  <si>
    <r>
      <t>Saarse et al. 199</t>
    </r>
    <r>
      <rPr>
        <sz val="11"/>
        <color rgb="FF000000"/>
        <rFont val="Arial"/>
        <family val="2"/>
        <charset val="1"/>
      </rPr>
      <t>0b</t>
    </r>
  </si>
  <si>
    <r>
      <t>Anderson &amp; Lozhkin 2001; Shilo et al. 198</t>
    </r>
    <r>
      <rPr>
        <sz val="11"/>
        <color rgb="FF000000"/>
        <rFont val="Arial"/>
        <family val="2"/>
        <charset val="1"/>
      </rPr>
      <t>3</t>
    </r>
    <r>
      <rPr>
        <sz val="11"/>
        <color rgb="FF000000"/>
        <rFont val="Arial"/>
        <family val="2"/>
        <charset val="1"/>
      </rPr>
      <t xml:space="preserve"> </t>
    </r>
  </si>
  <si>
    <t>Anderson 1975</t>
  </si>
  <si>
    <r>
      <t>Anderson et al. 1997</t>
    </r>
    <r>
      <rPr>
        <sz val="11"/>
        <color rgb="FF000000"/>
        <rFont val="Arial"/>
        <family val="2"/>
        <charset val="1"/>
      </rPr>
      <t>a</t>
    </r>
    <r>
      <rPr>
        <sz val="11"/>
        <color rgb="FF000000"/>
        <rFont val="Arial"/>
        <family val="2"/>
        <charset val="1"/>
      </rPr>
      <t xml:space="preserve">; Anderson &amp; Lozhkin 2002  </t>
    </r>
  </si>
  <si>
    <t>Anderson et al. 1996, 1997a; Anderson &amp; Lozhkin 1996; Lozhkin et al. 1990</t>
  </si>
  <si>
    <r>
      <t>Lozhkin et al. 1996</t>
    </r>
    <r>
      <rPr>
        <sz val="11"/>
        <color rgb="FF000000"/>
        <rFont val="Arial"/>
        <family val="2"/>
        <charset val="1"/>
      </rPr>
      <t>a</t>
    </r>
  </si>
  <si>
    <r>
      <t>Anderson et al. 1997b</t>
    </r>
    <r>
      <rPr>
        <sz val="11"/>
        <color rgb="FF000000"/>
        <rFont val="Arial"/>
        <family val="2"/>
        <charset val="1"/>
      </rPr>
      <t>; Lozhkin et al. 1996</t>
    </r>
    <r>
      <rPr>
        <sz val="11"/>
        <color rgb="FF000000"/>
        <rFont val="Arial"/>
        <family val="2"/>
        <charset val="1"/>
      </rPr>
      <t>b</t>
    </r>
    <r>
      <rPr>
        <sz val="11"/>
        <color rgb="FF000000"/>
        <rFont val="Arial"/>
        <family val="2"/>
        <charset val="1"/>
      </rPr>
      <t xml:space="preserve">; Anderson &amp; Lozhkin 2002 </t>
    </r>
  </si>
  <si>
    <r>
      <t>Hyvärinen 199</t>
    </r>
    <r>
      <rPr>
        <sz val="11"/>
        <color rgb="FF000000"/>
        <rFont val="Arial"/>
        <family val="2"/>
        <charset val="1"/>
      </rPr>
      <t>3</t>
    </r>
  </si>
  <si>
    <r>
      <t>Eronen &amp; Hyvärinen 1982; Hyvärinen 199</t>
    </r>
    <r>
      <rPr>
        <sz val="11"/>
        <color rgb="FF000000"/>
        <rFont val="Arial"/>
        <family val="2"/>
        <charset val="1"/>
      </rPr>
      <t>3</t>
    </r>
    <r>
      <rPr>
        <sz val="11"/>
        <color rgb="FF000000"/>
        <rFont val="Arial"/>
        <family val="2"/>
        <charset val="1"/>
      </rPr>
      <t xml:space="preserve"> </t>
    </r>
  </si>
  <si>
    <r>
      <t>Kimmel et al. 199</t>
    </r>
    <r>
      <rPr>
        <sz val="11"/>
        <color rgb="FF000000"/>
        <rFont val="Arial"/>
        <family val="2"/>
        <charset val="1"/>
      </rPr>
      <t>6</t>
    </r>
  </si>
  <si>
    <t>2012b</t>
  </si>
  <si>
    <t>Abbott, M. B., Edwards, M. E., and Finney, B. P.: A 40,000-yr record of environmental change from Burial Lake in Northwest Alaska, Quat. Res., 74, 156-165, 2010.</t>
  </si>
  <si>
    <t>Adams, J. K. and Finkelstein, S. A.: Watershed-scale reconstruction of middle and late Holocene paleoenvironmental changes on Melville Peninsula, Nunavut, Canada, Quat. Sci. Rev., 29, 2302-2314, 2010.</t>
  </si>
  <si>
    <t>Aebly, F. A. and Friz, S. C.: Palaeohydrology of Kangerlussuraq (Søndre Strømfjord), West Greenland during the last ~8000 years, Holocene, 19, 91-104, 2009.</t>
  </si>
  <si>
    <t>Ager, T. A.: Late Quaternary environmental history of the Tanana Valley, Alaska, Institute of Polar Studies Report 54, Ohio State University, Columbus, Ohio, 1975.</t>
  </si>
  <si>
    <t>Ager, T. A.: Holocene vegetational history of Alaska, in: Late-Quaternary Environments of the United States, edited by: Wright, H. E. J., University of Minnesota Press, Minneapolis, MN, 128-140, 1983.</t>
  </si>
  <si>
    <t>Ager, T. A. and Bradbury, J. P.: Quaternary history of vegetation and climate of the Yukon Delta-Norton Sound Area, in: The United States Geological Survey in Alaska: Accomplishments Curing 1980, edited by: Conrad, W. L., U.S. Geological Survey Circular 844, 78-80, 1982.</t>
  </si>
  <si>
    <t>Ager, T. A. and Brubaker, L. B.: Quaternary palynology and vegetational history of Alaska, in: Pollen records of Late-Quaternary North American sediments, edited by: Bryant, V. M., and Holloway, R. G., American Association of Stratigraphic Palynologists Foundation, Dallas, TX, 353-384, 1985.</t>
  </si>
  <si>
    <t>Ager, T. A., Carrara, P. E., and McGeehin, J. P.: Ecosystem development in the Girdwood area, south-central Alaska, following late Wisconsin glaciation, Can. J. Earth. Sci., 47, 971-985, 2010.</t>
  </si>
  <si>
    <t>Alekseev, M. N.: Antropogen Vostochnoi Azii [Anthropogen of eastern Asia], Nauka, Moscow, 200 pp. 1978.</t>
  </si>
  <si>
    <t>Anderson, J. H.: A palynological study of late Holocene vegetation and climate in the Healy Lake Area of Alaska, Arctic, 62-69, 1975.</t>
  </si>
  <si>
    <t>Anderson, L., Abbott, M. B., and Finney, B. P.: Holocene climate inferred from oxygen isotope ratios in lake sediments, central Brooks Range, Alaska, Quat. Res., 55, 313-321, 2001.</t>
  </si>
  <si>
    <t>Anderson, N. J., Liversidge, A. C., McGowan, S., and Jones, M. D.: Lake and catchment response to Holocene environmental change: spatial variability along a climate gradient in southwest Greenland, J. Paleolimnol., 48, 209-222, 2012.</t>
  </si>
  <si>
    <t>Anderson, P. M.: Late Quaternary vegetational change in the Kotzebue Sound area, northwestern Alaska. Quat. Res., 24, 307-321, 1985.</t>
  </si>
  <si>
    <t>Anderson, P. M.: Late Quaternary pollen records from the Kobuk and Noatak River drainages, northwestern Alaska. Quat. Res., 29, 263-276, 1988.</t>
  </si>
  <si>
    <t>Anderson, P. M. and Brubaker, L. B.: Vegetation history of northcentral Alaska: A mapped summary of late-Quaternary pollen data, Quat. Sci. Rev., 13, 71-92, 1994.</t>
  </si>
  <si>
    <t>Anderson, P. M. and Lozhkin, A. V.: The change of vegetation and climate of northern Priokhot'ye during the late Pleistocene-Holocene transition [in Russian], Doklady Akademii Nauk, 348 (3), 403-406, 1996.</t>
  </si>
  <si>
    <t>Anderson, P. M. and Lozhkin, A. V.: The latest Pleistocene interstade (Karginskii/Boutellier interval) of Beringia: variations in paleoenvironments and implications for paleoclimatic interpretations, Quat. Sci. Rev., 20, 93-125, 2001.</t>
  </si>
  <si>
    <t>Anderson, P. M. and Lozhkin, A. V.: Late Quaternary vegetation and climate of Siberia and the Russian Far East (Palynological and Radiocarbon Database), 2002.</t>
  </si>
  <si>
    <t>Anderson, P. M., Reanier, R. E., and Brubaker, L. B.: Late Quaternary vegetational history of the Black River region in northeastern Alaska, Can. J. Earth. Sci., 25, 84-94, 1988.</t>
  </si>
  <si>
    <t>Anderson, P. M., Lozhkin, A. V., Eisner, W. R., Kozhevnikova, M. V., Hopkins, D. M., Brubaker, L. B., and Colinvaux, P. A.: Two late Quaternary pollen records from south-central Alaska, Geogr. Phys. Quatern., 48, 131-143, 1994.</t>
  </si>
  <si>
    <t>Anderson, P. M., Lozhkin, A. V., and Brubaker, L. B.: A lacustrine pollen record from northern Priokhot'ye: new information about late Quaternary vegetational variations in western Beringia,Arctic Alpine Res., 28, 93-98, 1996.</t>
  </si>
  <si>
    <t>Anderson, P. M., Belaya, B. V., Glushkova, O. Y., and Lozhkin, A. V.: New data about the vegetation history of northern Priokhot'ye during the Late Pleistocene and Holocene [in Russian], Late Pleistocene and Holocene of Beringia, 33-54, 1997a.</t>
  </si>
  <si>
    <t>Anderson, P. M., Lozhkin, A. V., Belaya, B. V., Glushkova, O. Y., and Brubaker, L. B.: A lacustrine pollen record from near the altitudinal forest limit, upper Kolyma region, northeastern Siberia, Holocene, 7, 331-335, 1997b.</t>
  </si>
  <si>
    <t>Anderson, P. M., Lozhkin, A. V., and Belaya, B. V.: Younger Dryas in western Beringia (northeastern Siberia) [in Russian], Environmental Changes in Beringia During the Quaternary, 28-44, 1998a.</t>
  </si>
  <si>
    <t>Anderson, P. M., Lozhkin, A. V., Belaya, B. V., and Stetsenko, T. V.: New data about the stratigraphy of late Quaternary deposits of northern Priokhot'ye [in Russian], Environmental Changes in Beringia During the Quaternary, 69-87, 1998b.</t>
  </si>
  <si>
    <t>Anderson, R. S., Hallett, D. J., Berg, E., Jass, R. B., Toney, J. L., de Fontaine, C. S., and DeVolder, A.: Holocene development of Boreal forests and fire regimes on the Kenai Lowlands of Alaska, Holocene, 16, 791-803, 2006.</t>
  </si>
  <si>
    <t>Andersson, S. and Schoning, K.: Surface wetness and mire development during the late Holocene in central Sweden, Boreas, 39, 749-760, 2010.</t>
  </si>
  <si>
    <t>Andreev, A. A. and Klimanov, V. A.: Vegetation and climate history of central Yakutia during the Holocene and Late Pleistocene [in Russian], Formation of Deposits and Placers on North-East of the USSR, 26-51, 1989.</t>
  </si>
  <si>
    <t>Andreev, A. A. and Klimanov, V. A.: Quantitative Holocene climatic reconstruction from Arctic Russia, J. Paleolimnol., 24, 81-91, 2000.</t>
  </si>
  <si>
    <t>Andreev, A., Klimanov, V. A., and Sulerzhitsky, L. D.: Vegetation and climate history of the Yana River lowland, Russia, during the last 6400 yr, Quat. Sci. Rev., 20, 259-266, 2001.</t>
  </si>
  <si>
    <t>Andreev, A. A., Tarasov, P. E., Siegert, C., Ebel, T., Klimanov, V. A., Melles, M., Bobrov, A. A., Dereviagin, A. Y., Lubinski, D. J., and Hubberten, H. W.: Late Pleistocene and Holocene vegetation and climate on the northern Taymyr Peninsula, arctic Russia, Boreas, 32, 484-505, 2003.</t>
  </si>
  <si>
    <t>Andreev, A. A., Tarasov, P. E., Klimanov, V. A., Melles, M., Lisitsyna, O. M., and Hubberten, H. W.: Vegetation and climate changes around the Lama Lake, Taymyr Peninsula, Russia during the late Pleistocene and Holocene, Quat. Int., 122, 69-84, 2004.</t>
  </si>
  <si>
    <t>Andresen, C. S., Björck, S., Rundgren, M., Conley, D. J., and Jessen, C.: Rapid Holocene climate changes in the North Atlantic: evidence from lake sediments from the Faroe Islands, Boreas, 35, 23-34, 2006.</t>
  </si>
  <si>
    <t>Andresen, C. S., McCarthy, D. J., Valdemar Dylmer, C., Seidenkrantz, M.-S., Kuijpers, A., and Lloyd, J. M.: Interaction between subsurface ocean waters and calving of the Jakobshavn Isbræ during the late Holocene, Holocene, 21, 211-224, 2011.</t>
  </si>
  <si>
    <t>Andresen, C. S., Hansen, M. J., Seidenkrantz, M. S., Jennings, A. E., Knudsen, M. F., Nørgaard-Pedersen, N., Larsen, N. K., Kuijpers, A., and Pearce, C.: Mid- to late-Holocene oceanographic variability on the Southeast Greenland shelf, Holocene, 23, 167-178, 2013.</t>
  </si>
  <si>
    <t>Andrews, J. T. and Nichols, H.: Modern pollen deposition and Holocene paleotemperature reconstructions, central northern Canada. Arctic Alp. Res., 13, 387-408, 1981.</t>
  </si>
  <si>
    <t>Arslanov, H., Auslender, V., Gromova, L., Zubkov, A., and Khomutova, V.: Palaeogeography peculiarities and absolute age of the maximum stage of Valday glaciation in the region of lake Kubenskoe [in Russian], The reports of Academy of Sciences of USSR "Doklady Akademii Nauk SSSR", 195 (6), 1395-1399, 1970.</t>
  </si>
  <si>
    <t>Arkhipov, S. A., Levina, T. P., and Panychev, V. A.: Palynological characteristics of two Holocene peats from the middle and lower Ob River valley [in Russian], Paleopalynology of Siberia, 123-127, 1980.</t>
  </si>
  <si>
    <t>Arslanov, K., Davydova, N., Subetto, D., and Khomutova, V.: Karelian Isthmus [in Russian], The lake history of East-European Plain "Istoria ozer Vostochno-Evropeiskoi ravniny", 64-77, 1992.</t>
  </si>
  <si>
    <t>Arslanov, K., Gey, N., Davydova, N., Dzhinoridze, R., Koshechkin, B., Pushenko, M., Rybalko, A., Spiridonov, M., Subetto, D., and Khomutova, V.: New data from late Pleistocene and Holocene history of Ladoga lake [in Russian], Izvestia Geographicheskogo Obshestva, 1996.</t>
  </si>
  <si>
    <t>Arslanov, Kh.A., Svalijeva. L. A. Klimanov, V. A. Chernov, S. B., Chernova, G. M., Kuzmin, g. F., Tertychnaya, T. V., Subett, D. A., Denisenkov, V. P.: Chronology of vegetation and paleoclimatic stages of northwestern Russia during the late glacial and Holocene, Radiocarbon, 41, 25-45, 1999.</t>
  </si>
  <si>
    <t>Axford, Y. and Kaufman, D. S.: Late glacial and Holocene glacier and vegetation fluctuations at Little Swift Lake, Southwestern Alaska, USA, Arctic Antarctic Alpine Res., 36, 139-146, 2004.</t>
  </si>
  <si>
    <t>Axford, Y., Miller, G. H., Geirsdóttir, Á., and Langdon, P. G.: Holocene temperature history of northern Iceland inferred from subfossil midges, Quat. Sci. Rev., 26, 3344-3358, 2007.</t>
  </si>
  <si>
    <t>Axford, Y., Briner, J. P., Miller, G. H., and Francis, D. R.: Paleoecological evidence for abrupt cold reversals during peak Holocene warmth on Baffin Island, Arctic Canada, Quat. Res., 71, 142-149, 2009.</t>
  </si>
  <si>
    <t>Axford, Y., Losee, S., Briner, J. P., Francis, D. R., Langdon, P. G., and Walker, I. R.: Holocene temperature history at the western Greenland Ice Sheet margin reconstructed from lake sediments, Quat. Sci. Rev., 59, 87-100, 2013.</t>
  </si>
  <si>
    <t>Bakhareva, V. A.: The palynological characteristics of late Quaternary and Holocene deposits in the vicinity of Perschino village on the Irtysh River [in Russian], The palynostratigraphy of the Mesozoic and Cenozoic of Siberia, 115-120, 1985.</t>
  </si>
  <si>
    <t>Bakke, J., Dahl, S. O., Paasche, Ø., Løvlie, R., and Nesje, A.: Glacier fluctuations, equilibrium-line altitudes and palaeoclimate in Lyngen, northern Norway, during the Late glacial and Holocene, Holocene, 15, 518-540, 2005.</t>
  </si>
  <si>
    <t>Bender, M. M., Bryson, R. A., and Baerreis, D. A.: University of Wisconsin radiocarbon dates XV, Radiocarbon, 20, 157-167, 1978.</t>
  </si>
  <si>
    <t>Bigelow, N. H. and Edwards, M. E.: A 14,000 yr paleoenvironmental record from Windmill Lake, central Alaska: Evidence for high-frequency climatic and vegetation fluctuations, Quat. Sci. Rev., 20, 203-215, 2001.</t>
  </si>
  <si>
    <t>Biskaborn, B. K., Herzschuh, U., Bolshiyanov, D., Savelieva, L., Zibulski, R., and Diekmann, B.: Late Holocene thermokarst variability inferred from diatoms in a lake sediment record from the Lena Delta, Siberian Arctic, J. Paleolimnol., 49, 155-170, 2013.</t>
  </si>
  <si>
    <t>Bjune, A. E., Birks, H. J. B., and Seppä, H.: Holocene vegetation and climate history on a continental-oceanic transect in northern Fennoscandia based on pollen and plant macrofossils, Boreas, 33, 211-223, 2004.</t>
  </si>
  <si>
    <t>Blyakharchuk, T. A. and Sulerzhitsky, L. D.: Holocene vegetational and climatic changes in the forest zone of western Siberia according to pollen records from the extrazonal palsa bog Bugristoye, Holocene, 9, 621-628, 1999.</t>
  </si>
  <si>
    <t>Bobrov, A. A., Andreev, A. A., Schirrmeister, L., and Siegert, C.: Testate amoebae (Protozoa: Testacealobosea and Testaceafilosea) as bioindicators in the Late Quaternary deposits of the Bykovsky Peninsula, Laptev Sea, Russia, Palaeogeogr., Palaeoclim., Palaeoecol., 209, 165-181, 2004.</t>
  </si>
  <si>
    <t>Brachfeld, S., Barletta, F., St-Onge, G., Darby, D., and Ortiz, J. D.: Impact of diagenesis on the environmental magnetic record from a Holocene sedimentary sequence from the Chukchi–Alaskan margin, Arctic Ocean, Glob. Planet. Chan., 68, 100-114, 2009.</t>
  </si>
  <si>
    <t>Briner, J. P., Michelutti, N., Francis, D. R., Miller, G. H., Axford, Y., Wooller, M. J., and Wolfe, A. P.: A multi-proxy lacustrine record of Holocene climate change on northeastern Baffin Island, Arctic Canada, Quat. Res., 65, 431-442, 2006.</t>
  </si>
  <si>
    <t>Bringué, M., and Rochon, A.: Late Holocene paleoceanography and climate variability over the Mackenzie Slope (Beaufort Sea, Canadian Arctic), Mar. Geol., 291–294, 83-96, 2012.</t>
  </si>
  <si>
    <t>Brubaker, L. B., Garfinkee, H. L., and Edwards, M. E.: A late Wisconsin and Holocene vegetation history from the central Brooks Range: implications for Alaskan palaeoecology, Quat. Res., 20, 194-214, 1983.</t>
  </si>
  <si>
    <t>Carlsonl, L. J. and Finney, B. P.: A 1300-year history of vegetation and environmental change at Jan Lake, east-central Alaska, Holocene, 14, 818-827, 2004.</t>
  </si>
  <si>
    <t>Clark, P. U., Short, S. K., Williams, K. M., and Andrews, J. T.: Late Quaternary chronology and environments of Square Lake, Torngat Mountains, Labrador, Can. J. Earth Sci., 26, 2130-2144, 1989.</t>
  </si>
  <si>
    <t>Cook, T. L., Bradley, R. S., Stoner, J. S., and Francus, P.: Five thousand years of sediment transfer in a high arctic watershed recorded in annually laminated sediments from Lower Murray Lake, Ellesmere Island, Nunavut, Canada, J. Paleolimnol., 41, 77-94, 2009.</t>
  </si>
  <si>
    <t>Cremer, H., Wagner, B., Melles, M., and Hubberten, H.-W.: The postglacial environmental development of Raffles Sø, East Greenland: inferences from a 10,000 year diatom record, J. Paleolimnol., 26, 67-87, 2001.</t>
  </si>
  <si>
    <t>Cwynar, L. C. and Spear, R. W.: Paleovegetation and paleoclimatic changes in the Yukon at 6 ka BP, Geogr. Phys. Quatern., 49, 29-35, 1995.</t>
  </si>
  <si>
    <t>Daigle, T. A. and Kaufman, D. S.: Holocene climate inferred from glacier extent, lake sediment and tree rings at Goat Lake, Kenai Mountains, Alaska, USA. J. Quat. Sci., 24, 33-45, 2009.</t>
  </si>
  <si>
    <t>Dallimore, A., Schröder-Adams, C. J., and Dallimore, S. R.: Holocene environmental history of thermokarst lakes on Richards Island, Northwest Territories, Canada: Theocamoebians as paleolimnological indicators, J. Paleolimnol., 23, 261-283, 2000.</t>
  </si>
  <si>
    <t>D'Andrea, W. J., Vaillencourt, D. A., Balascio, N. L., Werner, A., Roof, S. R., Retelle, M., and Bradley, R. S.: Mild Little Ice Age and unprecedented recent warmth in an 1800 year lake sediment record from Svalbard, Geology, 2012.</t>
  </si>
  <si>
    <t>Davydova, N.: Diatom analysis [in Russian], The lake history of USSR "Istoria ozer SSSR", 256, 1986.</t>
  </si>
  <si>
    <t>Davydova, N., D. Subetto, D., and V. Khomutova, V.: Paleolimnology of Vishnevskoe and Michurinskoe lakes (Karelian Isthmus) [in Russian], in: Antropological Changes of Small Lake Systems “Antropogennye izmeneniya sistem malyhozer”, St.Petersburg, Gidrometizdat, 195–198, 1991.</t>
  </si>
  <si>
    <t>Davydova, N., Subetto, D., and Khomutova, V.: Lake Ilmen [in Russian], The lake history of East-European Plain, "Istoria ozer Vostochno-Evropeiskoi ravniny", 101-117, 1992.</t>
  </si>
  <si>
    <t>de Vernal, A., Hillaire-Marcel, C., and Darby, D. A.: Variability of sea ice cover in the Chukchi Sea (western Arctic Ocean) during the Holocene, Paleoceanogr., 20, PA4018, 2005.</t>
  </si>
  <si>
    <t>de Vernal, A., and Hillaire-Marcel, C.: Provincialism in trends and high frequency changes in the northwest North Atlantic during the Holocene, Glob. Planet. Chan., 54, 263-290, 2006.</t>
  </si>
  <si>
    <t>de Vernal, A., Hillaire-Marcel, C., Rochon, A., Fréchette, B., Henry, M., Solignac, S., and Bonnet, S.: Dinocyst-based reconstructions of sea ice cover concentration during the Holocene in the Arctic Ocean, the northern North Atlantic Ocean and its adjacent seas, Quat. Sci. Rev., 79, 111-121, 2013.</t>
  </si>
  <si>
    <t>Diedrich, K. E. and Loso, M. G.: Transient impacts of Little Ice Age glacier expansion on sedimentation processes at glacier-dammed Iceberg Lake, south-central Alaska, J. Paleolimnol., 48, 115-132, 2012.</t>
  </si>
  <si>
    <t>Divine, D., Isaksson, E., Martma, T., Meijer, H., Moore, J., Pohjola, V., Van de Wal, R., and Godliebsen, F.: Thousand years of winter surface air temperature variations in Svalbard and northern Norway reconstructed from ice core data, Polar Res., 30, 73-79 2011.</t>
  </si>
  <si>
    <t>Edwards, M. E., Anderson, P. M., Garfinkel, H. L., and Brubaker, L. B.: Late Wisconsin and Holocene vegetational history of the upper Koyukuk region, Brooks Range, AK, Can. J. Bot., 63, 616-626, 1985.</t>
  </si>
  <si>
    <t>Edwards, M. E., Brubaker, L. B.: Late quaternary vegetation history of the Fishhook Bend area, Porcupine River, Alaska, Can. J. Earth Sci., 23, 1765-1773, 1986.</t>
  </si>
  <si>
    <t>Eide, W., Birks, H., Bigelow, N., Peglar, S., and Birks, H. J.: Holocene forest development along the Setesdal valley, southern Norway, reconstructed from macrofossil and pollen evidence, Veg. Hist. Archaeobotany, 15, 65-85, 2006.</t>
  </si>
  <si>
    <t>Elias, S. A.: Holocene insect fossils from two sites at Ennadai lake, Keewatin, Northwest Territories, Canada, Quat. Res., 17, 371-390, 1982.</t>
  </si>
  <si>
    <t>Elina, G. A.: Principles and Methods for Reconstruction and Mapping of Holocene Vegetation [in Russian], Leningrad, Nauka,159 pp, 1981.</t>
  </si>
  <si>
    <t>Elina, G. and Filimonova, L.: Late-Glacial vegetation on the territory of Karelia, in: Palaeohydrology of the Temperate Zone III, Mires and Lakes, edited by Raukas, A. and Saarse, L., Tallinn, Valgus, 53-69, 1987.</t>
  </si>
  <si>
    <t>Elina, G. A. and Filimonova, L. V.: Dynamics of vegetation and natural conditions in type regions Kc and Kg during the Holocene, in: Palaeoecological Events During the Last 15,000 Years: Regional Syntheses of Palaeoecological Studies of Lakes and Mires Europe, edited by Berglund, B. E., Birks, H. J. B., and Ralska-Jasiewiczowa, M., Wiley, 1996.</t>
  </si>
  <si>
    <t>Elina, G. A. and Khomutova, V. I.: Correlation of Holocene sequences of bottom sediments from Onega Lake and its old bays in terms of palynological data, in: Methods for the Investigation of Lake Deposits: Palaeoecological and Palaeoclimatological Aspects, edited by Kabailiene, M., Vilnius, 193-203, 1987.</t>
  </si>
  <si>
    <t>Eronen, M. and Hyvarinen, H.: Subfossil pine dates and pollen diagrams from northern Fennoscandia, Geologis. Foren., 103, 437-455, 1982.</t>
  </si>
  <si>
    <t>Finkelstein, S. A. and Gajewski, K.: Responses of Fragilarioid-dominated diatom assemblages in a small Arctic lake to Holocene climatic changes, Russell Island, Nunavut, Canada, J. Paleolimnol., 40, 1079-1095, 2008.</t>
  </si>
  <si>
    <t>Firsov, L. V., Panychev, V. A., and Orlova, L. A.: Catalog of radiocarbon dates. Novosibirsk [in Russian], 1985.</t>
  </si>
  <si>
    <t>Fortin, M.-C. and Gajewski, K.: Holocene climate change and its effect on lake ecosystem production on northern Victoria Island, Canadian Arctic, J., Paleolimnol., 43, 219-234, 2010.</t>
  </si>
  <si>
    <t>Fréchette, B. and de Vernal, A.: Relationship between Holocene climate variations over southern Greenland and eastern Baffin Island and synoptic circulation pattern, Clim. Past, 5, 347-359, 2009.</t>
  </si>
  <si>
    <t>Fréchette, B., Wolfe, A. P., Miller, G. H., Richard, P. J. H., and de Vernal, A.: Vegetation and climate of the last interglacial on Baffin Island, Arctic Canada, Palaeogeogr., Palaeoclim., Palaeoecol., 236, 91-106, 2006.</t>
  </si>
  <si>
    <t>Gajewski, K. and Garralla, S.: Holocene vegetation histories from three sites in the tundra of northwestern Québec, Canada, Arctic Alpine Res., 24, 329-336, 1992.</t>
  </si>
  <si>
    <t>Gajewski, K., Mott, R. J., Ritchie, J. C., and Hadden, K.: Holocene vegetation history of Banks Island, Northwest Territories, Canada, Can. J. Bot. 78, 430-436, 2000.</t>
  </si>
  <si>
    <t>Gonyo, A. W., Yu, Z., and Bebout, G. E.: Late Holocene change in climate and atmospheric circulation inferred from geochemical records at Kepler Lake, south-central Alaska, J. Paleolimnol., 48, 55-67, 2012.</t>
  </si>
  <si>
    <t>Hald, M., Andersson, C., Ebbesen, H., Jansen, E., Klitgaard-Kristensen, D., Risebrobakken, B., Salomonsen, G. R., Sarnthein, M., Sejrup, H. P., and Telford, R. J.: Variations in temperature and extent of Atlantic vater in the northern North Atlantic during the Holocene, Quat. Sci. Rev., 26, 3423-3440, 2007.</t>
  </si>
  <si>
    <t>Heinrichs, M. L., Peglar, S. M., Bigler, C., and Birks, H. J. B.: A multi-proxy palaeoecological study of Alanen Laanijärvi, a boreal-forest lake in Swedish Lapland, Boreas, 34, 192-206, 2005.</t>
  </si>
  <si>
    <t>Hicks, S.: Variations in pollen frequency in a bog at Kanjerjoki, N.E. Finland during the Flandrian, Commentationes Biologicae, 80, 4-28, 1975.</t>
  </si>
  <si>
    <t>Hu, F. S., Brubaker, L. B., and Anderson, P. M.: A 12,000 year record of vegetation change and soil development from Wien Lake, central Alaska, Can. J. Bot., 71, 1133-1142, 1993.</t>
  </si>
  <si>
    <t>Hu, F. S., Kaufman, D., Yoneji, S., Nelson, D., Shemesh, A., Huang, Y., Tian, J., Bond, G., Clegg, B., and Brown, T.: Cyclic variation and solar forcing of Holocene climate in the Alaskan subarctic, Science, 301, 1890-1893, 2003.</t>
  </si>
  <si>
    <t>Huang, C. C., MacDonald, G., and Cwynar, L.: Holocene landscape development and climatic change in the low arctic, Northwest Territories, Canada, Palaeogeogr., Palaeoclim., Palaeoecol., 205, 221-234, 2004.</t>
  </si>
  <si>
    <t>Huttunen, A.: Vegetation and palaeoecology of a bog complex in southern Finland, Aquilo ser. Bot., 28, 27-37, 1990.</t>
  </si>
  <si>
    <t>Hyvärinen, H.: Absolute and relative pollen diagrams from northernmost Fennoscandia, Fennia, 142, 1-23, 1975.</t>
  </si>
  <si>
    <t>Hyvärinen, H.: Flandrian pollen deposition rates and tree-line history in northern Fennoscandia, Boreas, 5, 163-175, 1976.</t>
  </si>
  <si>
    <t>Hyvärinen, H.: Holocene pine and birch limits near Kilpisjärvi, western Finnish Lapland: pollen stratigraphical evidence, Paläoklimaforschung — Paleoclimate Research, 9, 19-27, 1993.</t>
  </si>
  <si>
    <t>Il'ina, N. S., Lapshina, E. I., and Lavrenko, N. I.: The vegetation cover of the western Siberia continental plateau [in Russian], Nauka, Siberia Branch, Novosibirsk, 1985.</t>
  </si>
  <si>
    <t>Ilyashuk, E. A., Ilyashuk, B. P., Kolka, V. V., and Hammarlund, D.: Holocene climate variability on the Kola Peninsula, Russian Subarctic, based on aquatic invertebrate records from lake sediments, Quat. Res., 2013.</t>
  </si>
  <si>
    <t>Jernas, P., Klitgaard Kristensen, D., Husum, K., Wilson, L., and Koç, N.: Palaeoenvironmental changes of the last two millennia on the western and northern Svalbard shelf, Boreas, 42, 236-255, 2013.</t>
  </si>
  <si>
    <t>Jiang, S., Liu, X., Sun, J., Yuan, L., Sun, L., and Wang, Y.: A multi-proxy sediment record of late Holocene and recent climate change from a lake near Ny-Ålesund, Svalbard, Boreas, 40, 468-480, 2011.</t>
  </si>
  <si>
    <t>Jones, M. C., Peteet, D. M., Kurdyla, D., and Guilderson, T.: Climate and vegetation history from a 14,000-year peatland record, Kenai Peninsula, Alaska, Quat. Res., 72, 207-217, 2009.</t>
  </si>
  <si>
    <t>Joynt Iii, E. H., and Wolfe, A. P.: Paleoenvironmental inference models from sediment diatom assemblages in Baffin Island lakes (Nunavut, Canada) and reconstruction of summer water temperature, Can. J. Fisheries Aquatic Sci., 58, 1222-1243, 2001.</t>
  </si>
  <si>
    <t>Kaltenrieder, P., Tinner, W., Lee, B., and Hu, F. S.: A 16,000-year record of vegetational change in southwestern Alaska as inferred from plant macrofossils and pollen, J. Quat. Sci., 26, 276-285, 2011.</t>
  </si>
  <si>
    <t>Kay, P. A.: Multivariate statistical estimates of Holocene vegetation and climate change, forest-tundra transition zone, NWT, Canada, Quat. Res., 11, 125-140, 1979.</t>
  </si>
  <si>
    <t>Kerwin, M. W., Overpeck, J. T., Webb, R. S., and Anderson, K. H.: Pollen-based summer temperature reconstructions for the eastern Canadian boreal forest, subarctic, and Arctic, Quat. Sci. Rev., 23, 1901-1924, 2004.</t>
  </si>
  <si>
    <t>Khomutova, V.: Geochronology of bottom sediments according to the results of palynologic analysis, in: Palaeolimnology of Lake Onega [in Russian], Nauka, Leningrad, 1976.</t>
  </si>
  <si>
    <t>Khomutova, V.: Paleogeography and biostratigraphy of lake sediments from forest zone of European part of USSR by spore-pollen data [in Russsian] Dr. Degree Thesis, Specialization 11.00.04 - geomorphology and evolution geography, 491, 1989.</t>
  </si>
  <si>
    <t>Khomutova, V. and Elina, G.: Stratigraphy of lake sediments by palynological data [in Russian], The history of Ladoga, Onego, Pskovsko-Chudskoe, Baikal and Khanki lakes "Istoria Ladozhskogo, Onezhskogo, Pskovsko- Chudskogo ozer, Baikala i Khanki", 92-96, 1990.</t>
  </si>
  <si>
    <t>Kimmel, K., Rajamäe, R., and Sakson, M.: The Holocene development of Tondi mire, northern Estonia: pollen, diatom and chronological studies, in: Coastal Estonia. Recent Advances in Environmental and Cultural History, edited by Hackens, T., Hicks, S., Lang, V., Miller, U., and Saarse, L., PACT, vol. 51, 85-102, 1996.</t>
  </si>
  <si>
    <t>Kind, N. V.: Geochronology of the late Anthropogene by isotopic data [in Russian], Moscow, Nauka, 257, 1974.</t>
  </si>
  <si>
    <t>Kinnard, C., Koerner, R. M., Zdanowicz, C. M., Fisher, D. A., Zheng, J., Sharp, M. J., Nicholson, L., and Lauriol, B.: Stratigraphic analysis of an ice core from the Prince of Wales Icefield, Ellesmere Island, Arctic Canada, using digital image analysis: High-resolution density, past summer warmth reconstruction, and melt effect on ice core solid conductivity, J. Geophys. Res., 113, D24120, 2008.</t>
  </si>
  <si>
    <t>Kjennbakken, H., Sejrup, H. P., and Haflidason, H.: Mid- to late-Holocene oxygen isotopes from Voldafjorden, western Norway, Holocene, 21, 897-909, 2011.</t>
  </si>
  <si>
    <t>Klug, M., Schmidt, S., Bennike, O. L. E., Heiri, O., Melles, M., and Wagner, B.: Lake sediments from Store Koldewey, Northeast Greenland, as archive of Late Pleistocene and Holocene climatic and environmental changes, Boreas, 38, 59-71, 2009.</t>
  </si>
  <si>
    <t>Koç, N., Jansen, E., and Haflidason, H.: Paleoceanographic reconstructions of surface ocean conditions in the Greenland, Iceland and Norwegian seas through the last 14 ka based on diatoms, Quat. Sci. Rev., 12, 115-140, 1993.</t>
  </si>
  <si>
    <t>Koivula, L.. Lic. Phil. Thesis [in Finnish], Department of Botany, University of Jyväskylä, Jyväskylä, Finland, 1987</t>
  </si>
  <si>
    <t>Kumke, T., Kienel, U., Weckström, J., Korhola, A., and Hubberten, H. W.: Inferred Holocene paleotemperatures from diatoms at Lake Lama, central Siberia, Arct. Antarct. Alp. Res., 36, 624-634, 2004.</t>
  </si>
  <si>
    <t>Kurek, J., Cwynar, L. C., Ager, T. A., Abbott, M. B., and Edwards, M. E.: Late Quaternary paleoclimate of western Alaska inferred from fossil chironomids and its relation to vegetation histories, Quat. Sci. Rev., 28, 799-811, 2009a.</t>
  </si>
  <si>
    <t>Kurek, J., Cwynar, L. C., and Vermaire, J. C.: A late Quaternary paleotemperature record from Hanging Lake, northern Yukon Territory, eastern Beringia, Quat. Res., 72, 246-257, 2009b.</t>
  </si>
  <si>
    <t>Lacourse, T. and Gajewski, K.: Late Quaternary vegetation history of Sulphur Lake, southwest Yukon Territory, Canada, Arctic, 53, 27-35, 2000.</t>
  </si>
  <si>
    <t>Lamb, H. F.: Modern pollen spectra from Labrador and their use in reconstructing Holocene vegetational history, J. Ecol., 72, 37-59, 1984.</t>
  </si>
  <si>
    <t>Lapointe, F., Francus, P., Lamoureux, S. F., Saïd, M., and Cuven, S.: 1750 years of large rainfall events inferred from particle size at East Lake, Cape Bounty, Melville Island, Canada, J. Paleolimnol., 48, 159-173, 2012.</t>
  </si>
  <si>
    <t>Larsen, N. K., Kjær, K. H., Olsen, J., Funder, S., Kjeldsen, K. K., and Nørgaard-Pedersen, N.: Restricted impact of Holocene climate variations on the southern Greenland Ice Sheet, Quat. Sci. Rev., 30, 3171-3180, 2011.</t>
  </si>
  <si>
    <t>Ledu, D., Rochon, A., de Vernal, A., Barletta, F., and St Onge, G.: Holocene sea ice history and climate variability along the main axis of the Northwest Passage, Canadian Arctic., Paleoceanogr., 25, 2010.</t>
  </si>
  <si>
    <t>Levac, E., Vernal, A. D., and Blake Jr, W.: Sea-surface conditions in northernmost Baffin Bay during the Holocene: palynological evidence, J. Quat. Sci., 16, 353-363, 2001.</t>
  </si>
  <si>
    <t>Lozhkin, A. V. and Anderson, P. M.: A Late Quaternary pollen record from Elikchan 4 Lake, northeast Siberia, Geology of the Pacific Ocean, 14, 18-22, 1995.</t>
  </si>
  <si>
    <t>Lozhkin, A. V., Skorodumov, I. N., Meshkov, A. P., Rovako, and L.G: Changed paleogeographic environments in the region of Glukhoye Lake (north coast of the Okhotsk Sea) during the Pleistocene-Holocene transition [in Russian], Doklady Akademii Nauk, 316 (1), 184-188, 1990.</t>
  </si>
  <si>
    <t>Lozhkin, A. V., Anderson, P. M., Eisner, W. R., Ravako, L. G., Hopkins, D. M., Brubaker, L. B., Colinvaux, P. A., and Miller, M. C.: Late Quaternary lacustrine pollen records from southwestern Beringia, Quat. Res., 39, 314-324, 1993.</t>
  </si>
  <si>
    <t>Lozhkin, A. V., Anderson, P. M., and Belaya, B. V.: Radiocarbon dates and carbon zones from lacustrine sediments from the region of the Kolyma-Okhotsk drainage divide [in Russian], Doklady Akademii Nauk, 343(3), 396-399, 1995.</t>
  </si>
  <si>
    <t>Lozhkin, A. V., Anderson, P. M., Belaya, B. V., Glushkova, O. Y., Kozhevinkova, M. V., and Kotova, L. N.: Palynological characteristics and radiocarbon dates of sediments from Elgennya Lake, Upper Kolyma, in: Quaternary Climates and Vegetation of Western Beringia [in Russian], edited by Bychkov, Y. M., Russian Academy of Sciences, 50-64, 1996b.</t>
  </si>
  <si>
    <t>Lozhkin, A. V., Anderson, P. M., Belaya, B. V., Yu, O., Glushkova, and Stetsenko, T. V.: Vegetation change in northeast Siberia at the Pleistocene-Holocene boundary and during the Holocene [in Russian], The Quaternary Period of Beringia, 53-75, 2000a.</t>
  </si>
  <si>
    <t>Lozhkin, A. V., Anderson, P. M., Glushkova, O. Y., Solomatkina, T. B., and Federova, I. N.: About features of development of lakes in the mountain regions of the upper Kolyma [in Russian], The Quaternary Period of Beringia, 20-45, 2000b.</t>
  </si>
  <si>
    <t>Lozhkin, A. V., Anderson, P. M., Vartanyan, S. L., Brown, T. A., Belaya, B. V., and Kotov, A. N.: Late Quaternary paleoenvironments and modern pollen data from Wrangel Island (northern Chukotka), Quat. Sci. Rev., 20, 217-233, 2001.</t>
  </si>
  <si>
    <t>Luoto, T. P., Kultti, S., Nevalainen, L., and Sarmaja-Korjonen, K.: Temperature and effective moisture variability in southern Finland during the Holocene quantified with midge-based calibration models, J. Quat. Sci., 25, 1317-1326, 2010.</t>
  </si>
  <si>
    <t>MacDonald, G. M.: Holocene vegetation history of the upper Natla River area, Northwest Territories, Canada, Arct. Alp. Res., 169-180, 1983.</t>
  </si>
  <si>
    <t>MacDonald, G. M.: Postglacial vegetation history of the Mackenzie River Basin, Quat. Res., 28, 245-262, 1987.</t>
  </si>
  <si>
    <t>MacDonald, G. M.: Vegetation of the continental Northwest Territories at 6 ka BP, Géograph. Physique et Quatern., 49, 37-43, 1995.</t>
  </si>
  <si>
    <t>McDonald, G. M., Ritchie, J. C.: Modern pollen spectra from the western interior of Canada and the interpretation of Late Quaternary vegetation development, New Phytologist, 103, 245–268, 1986.</t>
  </si>
  <si>
    <t>Melles, M., Brigham-Grette, J., Glushkova, O. Y., Minyuk, P. S., Nowaczyk, N. R., and Hubberten, H.-W.: Sedimentary geochemistry of core PG1351 from Lake El’gygytgyn—a sensitive record of climate variability in the east Siberian Arctic during the past three glacial–interglacial cycles, J. Paleolimnol., 37, 89-104, 2007.</t>
  </si>
  <si>
    <t>Miller, G. H., Mode, W. N., Wolfe, A. P., Sauer, P. E., Bennike, O., Forman, S. L., Short, S. K., and Stafford, T. W.: Stratified interglacial lacustrine sediments from Baffin Island, Arctic Canada: chronology and paleoenvironmental implications, Quat. Sci. Rev., 18, 789-810, 1999.</t>
  </si>
  <si>
    <t>Miller, G. H., Wolfe, A. P., Briner, J. P., Sauer, P. E., and Nesje, A.: Holocene glaciation and climate evolution of Baffin Island, Arctic Canada, Quat. Sci. Rev., 24, 1703-1721, 2005.</t>
  </si>
  <si>
    <t>Miller, R. D., Dobrovolny, E.: Surficial geology of Anchorage and vicinity, Alaska, U.S. Geological Survey Bulletin 1093, 128 pp, 1959.</t>
  </si>
  <si>
    <t>Mode, W. N. and Jacobs, J. D.: Surficial geology and palynology, inner Frobisher Bay, in: Glacial Geology and Holocene Events, Southern Baffin Island, NWT: Guidebook for Field Trip C, 2, 53-62, 1987.</t>
  </si>
  <si>
    <t>Moser, K. A. and MacDonald, G. M.: Holocene vegetation change at treeline north of Yellowknife, Northwest Territories, Canada, Quat. Res., 34, 227-239, 1990.</t>
  </si>
  <si>
    <t>Müller, S., Tarasov, P. E., Andreev, A. A. and Diekmann, B.: Late glacial to Holocene environments in the present-day coldest region of the Northern Hemisphere inferred from a pollen record of Lake Billyakh, Verkhoyansk Mts, NE Siberia, Clim. Past, 5, 73–84, 2009.</t>
  </si>
  <si>
    <t>Naurzbaev, M. M., Vaganov, E. A., Sidorova, O. V., and Schweingruber, F. H.: Summer temperatures in eastern Taimyr inferred from a 2427-year late-Holocene tree-ring chronology and earlier floating series, Holocene, 12, 727-736, 2002.</t>
  </si>
  <si>
    <t>Nazarova, L., de Hoog, V., Hoff, U., Dirksen, O., and Diekmann, B.: Late Holocene climate and environmental changes in Kamchatka inferred from the subfossil chironomid record, Quat. Sci. Rev., 67, 81-92, 2013.</t>
  </si>
  <si>
    <t>Neishtadt, M. I.: About environmental changes in middle taiga of western Siberia during the Holocene, in: Palynology of the USSR, edited by Zaklinskaya, E. D. and Neishtadt, M. I. [in Russian] Nauka, Moscow, 156-161, 1976.</t>
  </si>
  <si>
    <t>Nesje, A., Olaf Dahl, S., and Lie, Ø.: Holocene millennial-scale summer temperature variability inferred from sediment parameters in a non-glacial mountain lake: Danntjørn, Jotunheimen, central southern Norway, Quat. Sci. Rev., 23, 2183-2205, 2004.</t>
  </si>
  <si>
    <t>Neustadt, M. I. and Zelikson, E. M.: Neue Angaben zur str atiraphie der Torfmoore Westsibiriens, Acta Agralia fennica, 123, 27-32, 1985.</t>
  </si>
  <si>
    <t>Nichols, H.: Palynological and paleoclimatic study of the Late Quaternary displacements of the boreal forest-tundra ecotone in Keewatin and Mackenzie, NWT [Northwest Territories], Canada,Institute of Arctic and Alpine Research, Occasional Paper 15, 1975.</t>
  </si>
  <si>
    <t>Olsen, J., Anderson, N. J., and Knudsen, M. F.: Variability of the North Atlantic Oscillation over the past 5,200 years, Nature Geosci., 5, 808-812, 2012a.</t>
  </si>
  <si>
    <t>Olsen, J., Kjær, K. H., Funder, S., Larsen, N. K., and Ludikova, A.: High-Arctic climate conditions for the last 7000 years inferred from multi-proxy analysis of the Bliss Lake record, North Greenland, J. Quat. Sci., 27, 318-327, 2012b.</t>
  </si>
  <si>
    <t>Olsen, J., Anderson, N. J., and Leng, M. J.: Limnological controls on stable isotope records of late-Holocene palaeoenvironment change in SW Greenland: a paired lake study, Quat. Sci. Rev., 66, 85-95, 2013.</t>
  </si>
  <si>
    <t>Oswald, W. W., Brubaker, L. B., and Anderson, P. M.: Late Quaternary vegetational history of the Howard Pass area, northwestern Alaska, Can. J. Bot., 77, 570-581, 1999.</t>
  </si>
  <si>
    <t>Oswald, W. W., Gavin, D. G., Anderson, P. M., Brubaker, L. B., and Hu, F. S.: A 14,500-year record of landscape change from Okpilak Lake, northeastern Brooks Range, northern Alaska, J. Paleolimnol., 48, 101-113, 2012.</t>
  </si>
  <si>
    <t>Paus, A. A.: Paleo-okologiske undersøkelser pa Farøya, Sør-Trøndelag. Dissertation, University Trondheim, 1982.</t>
  </si>
  <si>
    <t>Paus, A. A. and Jevne, O. E.: Innerdalens historie belyst ved den pollenanalystyk methoden, Rapport arkeologisk serie, 1, 7-89, 1987.</t>
  </si>
  <si>
    <t>Perren, B., Anderson, N. J., Douglas, M. V., and Fritz, S.: The influence of temperature, moisture, and eolian activity on Holocene lake development in West Greenland. J. Paleolimnol., 48, 223-239, 2012.</t>
  </si>
  <si>
    <t>Peteet, D. M.: Modern pollen rain and vegetational history of the Malaspina Glacier District, Alaska, Quat. Res., 25, 100-120, 1986.</t>
  </si>
  <si>
    <t>Pienitz, R., Smol, J. P., and MacDonald, G. M.: Paleolimnological reconstruction of Holocene climatic trends from two boreal treeline lakes, Northwest Territories, Canada, Arct. Antarct. Alp. Res., 82-93, 1999.</t>
  </si>
  <si>
    <t>Pitkänen, A., Turunen, J., Tahvanainen, T. and Tolonen, K.: Holocene vegetation history from the Salym-Yugan Mire area, west Siberia, Holocene, 12, 353-362, 2002.</t>
  </si>
  <si>
    <t>Pompeani, D. P., Steinman, B. A., and Abbott, M. B.: A sedimentary and geochemical record of water-level changes from Rantin Lake, Yukon, Canada, J., Paleolimnol., 48, 147-158, 2012.</t>
  </si>
  <si>
    <t>Quillmann, U., Jennings, A. E., and Andrews, J. T.: Reconstructing Holocene palaeoclimate and palaeoceanography in Isafjarðardjúp, northwest Iceland, from two fjord records overprinted by relative sea-level and local hydrographic changes. J. Quat. Sci. 25, 1144-1159, 2010.</t>
  </si>
  <si>
    <t>Ramfjord, H.: Vegetasjons- og klimahistorie gjennom de siste 9000 ar i Naerøy, Nord-TrOndelag. Thesis, University Trondheim, 1979a.</t>
  </si>
  <si>
    <t>Ramfjord, H.: On the late Weichselian and Flandrian shoreline displacement in Nærøy, Nord-Trøndelag, Norway. Norsk Geologisk Tidsskrift, 62, 191-205, 1979b.</t>
  </si>
  <si>
    <t>Ran, L., Jiang, H., Knudsen, K. L., and Eiriksson, J.: A high-resolution Holocene diatom record on the North Icelandic shelf, Boreas, 37, 399-413, 2008.</t>
  </si>
  <si>
    <t>Rankama, T., Vuorela, I.: Memo. Soc. Fauna Flora, Fennica, 64, 25-34, 1988.</t>
  </si>
  <si>
    <t>Rasmussen, T. L., Forwick, M., and Mackensen, A.: Reconstruction of inflow of Atlantic water to Isfjorden, Svalbard during the Holocene: Correlation to climate and seasonality, Mar. Micropaleontol., 94–95, 80-90, 2012.</t>
  </si>
  <si>
    <t>Richard, P.: Histoire post-wisconsinienne de la vegetation du Quebec miridional par l'analyse pollinique. Service de la recherche, Direction generale des forets, Ministere des Terres et Forets du Quebec, Publications et rapports divers, 2, 142, 1977.</t>
  </si>
  <si>
    <t>Ritchie, J. C.: The modern and late Quaternary vegetation of the Campbell-Dolomite Uplands, near Inuvik, N.W.T. Canada, Ecol., Monogr., 47, 401-423, 1977.</t>
  </si>
  <si>
    <t>Ritchie, J. C.: The modern and Late-Quaternary vegetation of the Doll Creek area, North Yukon, Canada, New Phytologist, 90, 563-603, 1982.</t>
  </si>
  <si>
    <t>Ritchie, J. C.: A Holocene pollen record of boreal forest history from the Travaillant Lake area, Lower Mackenzie River Basin, Can. J. Bot., 62, 1385-1392, 1984.</t>
  </si>
  <si>
    <t>Ritchie, J. C., Hare, F. K.: Late-Quaternary vegetation and climate near the arctic tree line of Northwestern North America, Quat. Res., 1, 331-342, 1971.</t>
  </si>
  <si>
    <t>Ritchie, J. C., Harrison, S. P.: Vegetation, lake levels, and climate in western Canada during the Holocene, in: Global Climates Since the Last Glacial Maximum, edited by Wright, H. E. Jr., Kutzbach, J. E., Webb, T. III, Ruddiman, W. F., Street-Perrott, F. A., and Bartlein, P. J.,  University of Minnesota Press, Minneapolis, 401-414, 1993.</t>
  </si>
  <si>
    <t>Rosén, P., Segerström, U., Eriksson, L., and Renberg, I.: Do diatom, chironomid, and pollen records consistently infer Holocene July air temperature? A comparison using sediment cores from four alpine lakes in Northern Sweden, Arct. Antarct. Alp. Res., 35, 279-290, 2003.</t>
  </si>
  <si>
    <t>Rosqvist, G., Jonsson, C., Yam, R., Karlén, W., and Shemesh, A.: Diatom oxygen isotopes in pro-glacial lake sediments from northern Sweden: a 5000 year record of atmospheric circulation, Quat. Sci. Rev., 23, 851-859, 2004.</t>
  </si>
  <si>
    <t>Rosqvist, G., Leng, M. J., and Jonsson, C.: North Atlantic region atmospheric circulation dynamics inferred from a late-Holocene lacustrine carbonate isotope record, northern Swedish Lapland, Holocene, 17, 867-873, 2007.</t>
  </si>
  <si>
    <t>Rouillard, A., Rosén, P., Douglas, M. S. V., Pienitz, R., and Smol, J. P.: A model for inferring dissolved organic carbon (DOC) in lakewater from visible-near-infrared spectroscopy (VNIRS) measures in lake sediment, J., Paleolimnol., 46, 187-202, 2011.</t>
  </si>
  <si>
    <t>Rowe, J. S., Spittlehouse, D., Johnson, E., and Jasieniuk, M.: Fire studies in the upper Mackenzie Valley and adjacent Precambrian uplands, Department of Indian and Northern Affairs, Ottawa, Canada Publication QS-8045-000-EE-A1, 1975.</t>
  </si>
  <si>
    <t>Rühland, K., Smol, J. P.: Diatom shifts as evidence for recent subarctic warming in a remote tundra lake, NWT, Canada, Palaeogeogr., Palaeoclim., Palaeoecol., 226, 1-16, 2005.</t>
  </si>
  <si>
    <t>Rühland, K., Jacques, J.-M. S., Beierle, B. D., Lamoureux, S. F., Dyke, A. S., and Smol, J. P.: Late glacial and Holocene paleoenvironmental changes recorded in lake sediments, Brock Plateau (Melville Hills), Northwest Territories, Canada, Holocene, 19, 1005-1016, 2009.</t>
  </si>
  <si>
    <t>Rymer, M. J., Sims, J. D.: Lake-sediment evidence for the date of deglaciation of the Hidden Lake area, Kenai Peninsula, Alaska, Geology, 10, 314-316, 1982.</t>
  </si>
  <si>
    <t>Saarse, L., Liiva, A.: Geology of the Antu group of lakes, Proc. Estonia Acad. Sci. Geol., 44, 2, 119-132, 1995.</t>
  </si>
  <si>
    <t>Saarse, L., Veski, S., Rajamae, R., Sarv, A., and Heinsalu, A.: Geology of Lake Maardu [in Russian], Eesti Teaduste Akademia Geoloogia Instituut, Tallinn, Estonia, 32, 1990a.</t>
  </si>
  <si>
    <t>Saarse, L., Vishnevskaya, Y., Sarv, A., Rajamae, R., and Ilves, E.: Evolution of the lakes of Saaremaa island  [in Russian], Eesti Teaduste Akadeemia Toimetised Biologia, 39, 34-45, 1990b.</t>
  </si>
  <si>
    <t>Salonen, J. S.: Quantitative climate reconstructions based on fossil pollen: novel approaches to calibration, validation, and spatial data analysis, Dissertation, University Helsinki, 2012.</t>
  </si>
  <si>
    <t>Salonen, J. S., Seppä, H., Väliranta, M., Jones, V. J., Self, A., Heikkilä, M., Kultti, S., and Yang, H.: The Holocene thermal maximum and late-Holocene cooling in the tundra of NE European Russia, Quat. Res., 75, 501-511, 2011.</t>
  </si>
  <si>
    <t>Saulnier-Talbot, É. and Pienitz, R.: Postglacial chironomid assemblage succession in northernmost Ungava Peninsula, Canada, J., Quat. Sci., 25, 203-213, 2010.</t>
  </si>
  <si>
    <t>Saulnier-Talbot, É., Pienitz, R., and Vincent, W. F.: Holocene lake succession and palaeo-optics of a subarctic lake, northern Québec, Canada, Holocene, 13, 517-526, 2003.</t>
  </si>
  <si>
    <t>Schmidt, S., Wagner, B., Heiri, O., Klug, M., Bennike, O. L. E., and Melles, M.: Chironomids as indicators of the Holocene climatic and environmental history of two lakes in Northeast Greenland, Boreas, 40, 116-130, 2011.</t>
  </si>
  <si>
    <t>Schweger, C. E.: Chronology of late glacial events from the Tangle Lakes, Alaska Range, Alaska, Arctic Anthropol., 97-101, 1981.</t>
  </si>
  <si>
    <t>Sejrup, H. P., Haflidason, H., Flatebø, T., Klitgaard-Kristensen, D., Grøsfjeld, K., and Larsen, E.: Late-glacial to Holocene environmental changes and climate variability: evidence from Voldafjorden, western Norway, J. Quat. Sci., 16, 181-198, 2001.</t>
  </si>
  <si>
    <t>Seppä, H., Poska, A.: Holocene annual mean temperature changes in Estonia and their relationship to solar insolation and atmospheric circulation patterns, Quat. Res., 61, 22-31, 2004.</t>
  </si>
  <si>
    <t>Seppä, H., Bjune, A. E., Telford, R. J., Birks, H. J. B., and Veski, S.: Last nine-thousand years of temperature variability in northern Europe, Clim. Past, 5, 523-535, 2009.</t>
  </si>
  <si>
    <t>Shilo, N. A., Lozhkin, A. V., Titov, E. E., and Schumilov, Y. V.: Kirgirlakh mammoth: paleography aspect [in Russian], Nauka, Moscow, 1983.</t>
  </si>
  <si>
    <t>Short, S. K., Andrews, J. T., Williams, K. M., Weiner, N. J., and Elias, S. A.: Late Quaternary marine and terrestrial environments, northwestern Baffin Island, Northwest Territories, Geogr. Phys. Quatern., 48, 85-95, 1994.</t>
  </si>
  <si>
    <t>Solignac, S., Giraudeau, J., and de Vernal, A.: Holocene sea surface conditions in the western North Atlantic: spatial and temporal heterogeneities, Paleoceanogr., 21, 2006.</t>
  </si>
  <si>
    <t>Solignac, S., Grelaud, M., de Vernal, A., Giraudeau, J., Moros, M., McCave, I. N., and Hoogakker, B.: Reorganization of the upper ocean circulation in the mid-Holocene in the northeastern Atlantic, Can. J. Earth Sci., 45, 1417-1433, 2008.</t>
  </si>
  <si>
    <t>Spear, R. W.: The palynological record of Late-Quaternary arctic tree-line in northwest Canada, Rev. Palaeobot. Palynol., 79, 99-111, 1993.</t>
  </si>
  <si>
    <t>Spielhagen, R. F., Werner, K., Sørensen, S. A., Zamelczyk, K., Kandiano, E., Budeus, G., Husum, K., Marchitto, T. M., and Hald, M.: Enhanced modern heat transfer to the Arctic by warm Atlantic water, Science, 331, 450-453, 2011.</t>
  </si>
  <si>
    <t>Stetsenko, T. V.: A pollen record from Holocene Lake deposits in the Malyk-Siena depression, upper Kolyma basin, in: Environmental Changes in Beringia During the Quaternary [in Russian], edited by Simakov, K. V., Russian Academy of Sciences, Magadan, 63-68, 1998.</t>
  </si>
  <si>
    <t>Sweetman, J. N., LaFace, E., Rühland, K. M., and Smol, J. P.: Evaluating the response of Cladocera to recent environmental changes in lakes from the central Canadian Arctic treeline region, Arct. Antarct. Alp. Res., 40, 584-591, 2008.</t>
  </si>
  <si>
    <t>Szeicz, J. M., MacDonald, G. M., and Duk-Rodkin, A.: Late Quaternary vegetation history of the central Mackenzie Mountains, Northwest Territories, Canada, Palaeogeogr., Paleoclim., Palaeoecol., 113, 351-371, 1995.</t>
  </si>
  <si>
    <t>Tarasov, P., Harrison, S., Saarse, L., Pushenko, M., Andreev, A., Aleshinskaya, Z., Davydova, N., Dorofeyuk, N., Yu, E., Khomutova, V., Sevastyanov, D., Tamosaitis, J., Uspenskaya, O., Yakushko, O., and Tarasova, I.: Lake status records from the former Soviet Union and Mongolia: data base documentation, Paleoclimatology Publications Series Report 2, 86-88, 1994.</t>
  </si>
  <si>
    <t>Thomas, E. K. and Briner, J. P.: Climate of the past millennium inferred from varved proglacial lake sediments on northeast Baffin Island, Arctic Canada, J. Paleolimnol., 41, 209-224, 2009.</t>
  </si>
  <si>
    <t>Thomas, E. K., Szymanski, J., and Briner, J. P.: Holocene alpine glaciation inferred from lacustrine sediments on northeastern Baffin Island, Arctic Canada, J. Quat. Sci., 25, 146-161, 2010.</t>
  </si>
  <si>
    <t>Tinner, W., Hu, F. S., Beer, R., Kaltenrieder, P., Scheurer, B., and Krähenbühl, U.: Postglacial vegetational and fire history: pollen, plant macrofossil and charcoal records from two Alaskan lakes, Veg. Hist. Archaeobotany, 15, 2006.</t>
  </si>
  <si>
    <t>Vasari, Y.: Studies on the vegetational history of the Kuusamo district (north east Finland) during the Late Quaternary period. III. Maanselnsuo, a late-glacial site in Kuusamo, Ann. Botan., 2, 219-235, 1965.</t>
  </si>
  <si>
    <t>Velichko, A. A., Andreev, A. A., and Klimanov, V. A.: Climate and vegetation dynamics in the tundra and forest zone during the late glacial and Holocene, Quat. Int., 41/42, 71-96, 1997.</t>
  </si>
  <si>
    <t>Velle, G., Brooks, S. J., Birks, H. J. B., and Willassen, E.: Chironomids as a tool for inferring Holocene climate: an assessment based on six sites in southern Scandinavia, Quat. Sci. Rev., 24, 1429-1462, 2005.</t>
  </si>
  <si>
    <t>Volkov, I. A., Gurtovaya, E. E., and Firsov, L. V.: The structure, age and history of Holocene peat near Gorno-Slinkino village on the Irtysh River, in: The Pleistocene of Siberia and Neighboring Regions [in Russian], edited by, Saks, V. N., Nauka, Moscow, 55-68, 1973.</t>
  </si>
  <si>
    <t>Volkova, V. S.: The Quaternary deposits of the lower Irtysh River and their biostratigraphic characteristics [in Russian], Nouka, Novosibirsk, 1966.</t>
  </si>
  <si>
    <t>Voronina, E., Polyak, L., Vernal, A. D., and Peyron, O.: Holocene variations of sea-surface conditions in the southeastern Barents Sea, reconstructed from dinoflagellate cyst assemblages, J. Quat. Sci., 16, 717-726, 2001.</t>
  </si>
  <si>
    <t>Vuorela, I.: The vegetational and settlement history in Sysmä central south Finland, interpreted on the basis of two pollen diagrams, Bull. Geol. Soc. Finland, 53, 47-61, 1981.</t>
  </si>
  <si>
    <t>Vuorela, I.: Geologian tutkimuskeskus, raportti [in Finnish], Geologian tutkimuskeskus, 21, 1990.</t>
  </si>
  <si>
    <t>Werner, K., Tarasov, P.E., Andreev, A.A., Müller, S., Kienast, F., Zech, M., Zech, W., and Diekmann, B.: A 12.5-kyr history of vegetation dynamics and mire development with evidence of Younger Dryas larch presence in the Verkhoyansk Mountains, East Siberia, Russia, Boreas, 39, 56-68, 2010.</t>
  </si>
  <si>
    <t>Werner, K., Spielhagen, R. F., Bauch, D., Hass, H. C., Kandiano, E., and Zamelczyk, K.: Atlantic water advection to the eastern Fram Strait — Multiproxy evidence for late Holocene variability, Palaeogeogr., Palaeoclim., Palaeoecol., 308, 264-276, 2011.</t>
  </si>
  <si>
    <t>Willemse, N. W. and Törnqvist, T. E.: Holocene century-scale temperature variability from West Greenland lake records, Geology, 27, 580-584, 1999.</t>
  </si>
  <si>
    <t>Wolfe, B. B., Edwards, T. W. D., Aravena, R., Forman, S. L., Warner, B. G., Velichko, A. A., and MacDonald, G. M.: Holocene paleohydrology and paleoclimate at treeline, north-central Russia, inferred from oxygen isotope records in lake sediment cellulose. Quat. Res., 53, 319-329, 2000.</t>
  </si>
  <si>
    <t>Wolfe, B. B., Edwards, T. W. D., Jiang, H., MacDonald, G. M., Gervais, B. R., and Snyder, J. A.: Effect of varying oceanicity on early-to mid-Holocene paleohydrology, Kola Peninsula, Russia: isotopic evidence from treeline lakes, Holocene, 13, 153-160, 2003.</t>
  </si>
  <si>
    <t>Wolfe, B. B., Edwards, T. W. D., Hall, R. I., and Johnston, J. W.: A 5200-year record of freshwater availability for regions in western North America fed by high-elevation runoff, Geophys. Res. Lett., 38, 2011.</t>
  </si>
  <si>
    <t>Wooller, M. J., Kurek, J., Gaglioti, B. V., Cwynar, L. C., Bigelow, N., Reuther, J. D., Gelvin-Reymiller, C. , Smol, J. P.: An ~11,200 year paleolimnological perspective for emerging archaeological findings at Quartz Lake, Alaska, J. Paleolimnol., 48, 83-99, 2012.</t>
  </si>
  <si>
    <t>Zamelczyk, K., Rasmussen, T. L., Husum, K., Haflidason, H., de Vernal, A., Ravna, E. K., Hald, M., and Hillaire-Marcel, C.: Paleoceanographic changes and calcium carbonate dissolution in the central Fram Strait during the last 20 ka, Quat. Res., 78, 405-416, 2012.</t>
  </si>
  <si>
    <t>Borgmark, A. and Wastegård, S.: Regional and local patterns of peat humification in three raised peat bogs in Värmland, south-central Sweden, Geologiska Föreningens i Stockholm Förhandlin- gar (GFF), 130, 161-176, 2008.</t>
  </si>
  <si>
    <t>Paul, C. A., Rühland, K. M., and Smol, J. P.: Diatom-inferred climatic and environmental changes over the last ∼ 9000 years from a low Arctic (Nunavut, Canada) tundra lake, Palaeogeogr., Palaeoclim., Palaeoecol., 291, 205-216, 2010.</t>
  </si>
  <si>
    <r>
      <t>Chipman, M. L., Clegg, B. F., and Hu, F. S.: Variation in the moisture regime of northeastern interior Alaska and possible linkages to the Aleutian Low: inferences from a late-Holocene δ</t>
    </r>
    <r>
      <rPr>
        <vertAlign val="superscript"/>
        <sz val="11"/>
        <color rgb="FF000000"/>
        <rFont val="Arial"/>
        <family val="2"/>
      </rPr>
      <t>18</t>
    </r>
    <r>
      <rPr>
        <sz val="11"/>
        <color rgb="FF000000"/>
        <rFont val="Arial"/>
        <family val="2"/>
        <charset val="1"/>
      </rPr>
      <t>O record, J. Paleolimnol., 48, 69-81, 2012.</t>
    </r>
  </si>
  <si>
    <r>
      <t>D’Andrea, W. J., and Huang, Y.: Long chain alkenones in Greenland lake sediments: Low δ</t>
    </r>
    <r>
      <rPr>
        <vertAlign val="superscript"/>
        <sz val="11"/>
        <color rgb="FF000000"/>
        <rFont val="Arial"/>
        <family val="2"/>
      </rPr>
      <t>13</t>
    </r>
    <r>
      <rPr>
        <sz val="11"/>
        <color rgb="FF000000"/>
        <rFont val="Arial"/>
        <family val="2"/>
        <charset val="1"/>
      </rPr>
      <t>C values and exceptional abundance, Org. Geochem., 36, 1234-1241, 2005.</t>
    </r>
  </si>
  <si>
    <r>
      <t>Lozhkin, A. V., Anderson, P. M., Eisner, W. R., Hopkins, D. M., and Brubaker, L. B.: Changes of vegetation cover of western Alaska during the last 18,000 years, in: Quaternary Climates and Vegetation of Beringia, edited by Bychkov, Y. M., Russian Academy of Sciences. Magadan, Russia,</t>
    </r>
    <r>
      <rPr>
        <b/>
        <sz val="11"/>
        <color rgb="FF000000"/>
        <rFont val="Arial"/>
        <family val="2"/>
        <charset val="1"/>
      </rPr>
      <t xml:space="preserve"> </t>
    </r>
    <r>
      <rPr>
        <sz val="11"/>
        <color rgb="FF000000"/>
        <rFont val="Arial"/>
        <family val="2"/>
        <charset val="1"/>
      </rPr>
      <t>31-42, 1996a.</t>
    </r>
  </si>
  <si>
    <r>
      <t>MacDonald, G. M., Cwynar, L. C.: A fossil pollen based reconstruction of the Late Quaternary history of lodgepole pine (</t>
    </r>
    <r>
      <rPr>
        <i/>
        <sz val="11"/>
        <color rgb="FF000000"/>
        <rFont val="Arial"/>
        <family val="2"/>
        <charset val="1"/>
      </rPr>
      <t>Pinus contorta</t>
    </r>
    <r>
      <rPr>
        <sz val="11"/>
        <color rgb="FF000000"/>
        <rFont val="Arial"/>
        <family val="2"/>
        <charset val="1"/>
      </rPr>
      <t xml:space="preserve"> ssp. </t>
    </r>
    <r>
      <rPr>
        <i/>
        <sz val="11"/>
        <color rgb="FF000000"/>
        <rFont val="Arial"/>
        <family val="2"/>
        <charset val="1"/>
      </rPr>
      <t>latifolia</t>
    </r>
    <r>
      <rPr>
        <sz val="11"/>
        <color rgb="FF000000"/>
        <rFont val="Arial"/>
        <family val="2"/>
        <charset val="1"/>
      </rPr>
      <t>) in the western interior of Canada, Can. J. For. Res., 15, 1039-1044, 1985.</t>
    </r>
  </si>
  <si>
    <r>
      <t>Smith, L. M., Andrews, J. T., Castañeda, I. S., Kristjánsdóttir, G. B., Jennings, A. E., and Sveinbjörnsdóttir, Á. E.: Temperature reconstructions for SW and N Iceland waters over the last 10 cal ka based on δ</t>
    </r>
    <r>
      <rPr>
        <vertAlign val="superscript"/>
        <sz val="11"/>
        <color rgb="FF000000"/>
        <rFont val="Arial"/>
        <family val="2"/>
      </rPr>
      <t>18</t>
    </r>
    <r>
      <rPr>
        <sz val="11"/>
        <color rgb="FF000000"/>
        <rFont val="Arial"/>
        <family val="2"/>
        <charset val="1"/>
      </rPr>
      <t>O records from planktic and benthic Foraminifera, Quat. Sci. Rev., 24, 1723-1740, 2005.</t>
    </r>
  </si>
  <si>
    <r>
      <t>Thomas, E. K., McGrane, S., Briner, J. P., and Huang, Y.: Leaf wax δ</t>
    </r>
    <r>
      <rPr>
        <vertAlign val="superscript"/>
        <sz val="11"/>
        <color rgb="FF000000"/>
        <rFont val="Arial"/>
        <family val="2"/>
      </rPr>
      <t>2</t>
    </r>
    <r>
      <rPr>
        <sz val="11"/>
        <color rgb="FF000000"/>
        <rFont val="Arial"/>
        <family val="2"/>
        <charset val="1"/>
      </rPr>
      <t>H and varve-thickness climate proxies from proglacial lake sediments, Baffin Island, Arctic Canada, J. Paleolimnol., 48, 193-207, 2012.</t>
    </r>
  </si>
  <si>
    <r>
      <t>Vuorela, I.:</t>
    </r>
    <r>
      <rPr>
        <sz val="11"/>
        <color rgb="FF1A1718"/>
        <rFont val="Arial"/>
        <family val="2"/>
      </rPr>
      <t xml:space="preserve"> Lounais-Suomen varhaismetallikautinen asutus ja viljely siitepölyanalyysin valossa. Summary: The movement of agriculture in to S.W. Finland. Karhunhammas, 13, 2-23, 1991.</t>
    </r>
  </si>
  <si>
    <t>d18O.forams, dinocysts, dinocysts, dinocysts</t>
  </si>
  <si>
    <t>OM, BSi</t>
  </si>
  <si>
    <t>dinocysts, dinocysts</t>
  </si>
  <si>
    <t>chironomids, chironomids</t>
  </si>
  <si>
    <t>d18O.ice, ice.melt</t>
  </si>
  <si>
    <t>OM, MS, BSi</t>
  </si>
  <si>
    <t>d18O.ice, d18O.ice</t>
  </si>
  <si>
    <t>OM, BSi, chironomids</t>
  </si>
  <si>
    <t>pollen, BSi</t>
  </si>
  <si>
    <t>d18O.diatoms, pollen</t>
  </si>
  <si>
    <t>chironomids, pollen</t>
  </si>
  <si>
    <t>pollen, chironomids</t>
  </si>
  <si>
    <t>humification_index, humification_index</t>
  </si>
  <si>
    <t>chironomids, diatoms, d18O.diatoms</t>
  </si>
  <si>
    <t>diatoms, chironomids</t>
  </si>
  <si>
    <t>pollen, chironomids, diatoms</t>
  </si>
  <si>
    <t>chironomids, d18O.cellulose</t>
  </si>
  <si>
    <t>pollen, d18O</t>
  </si>
  <si>
    <t>diatoms, chironomids, pollen</t>
  </si>
  <si>
    <t>BSi, pollen</t>
  </si>
  <si>
    <t>d13C, d13C</t>
  </si>
  <si>
    <t>d18O.foram, forams.pl</t>
  </si>
  <si>
    <t>alkenones, diatoms, forams, d18O.foram</t>
  </si>
  <si>
    <t>d18O.foram, IRD</t>
  </si>
  <si>
    <t>d18O.foram, IRD, carbonate</t>
  </si>
  <si>
    <t>IP25, dinocysts</t>
  </si>
  <si>
    <t>Mg/Ca, d18O.foram</t>
  </si>
  <si>
    <t>d18O.foram, d18O.foram</t>
  </si>
  <si>
    <t>d18O.cellulose, pollen</t>
  </si>
  <si>
    <t>Punctuation for proxy types connotes the following:  x.y — x = general type of analysis and y = specific type of analysis or material (e.g. "d18O.foram" = oxygen isotopes of foraminifera); x, y, z — different proxy records from the same site</t>
  </si>
  <si>
    <t>McKay &amp; Kaufman 2009</t>
  </si>
  <si>
    <t>Viau &amp; Gajewski 2009; Cwynar and Spear 1995</t>
  </si>
  <si>
    <t>Allen, J. R. M., Long, A. J., Ottley, C. J., Graham Pearson, D., and Huntley, B.: Holocene climate variability in northernmost Europe, Quat. Sci. Rev., 26, 1432-1453, 2007.</t>
  </si>
  <si>
    <t>Alley, R. B.: The Younger Dryas cold interval as viewed from central Greenland, Quat. Sci. Rev. 19, 213-226, 2000.</t>
  </si>
  <si>
    <t>Anderson, L., Abbott, M. B., Finney, B. P., and Burns, S. J.: Regional atmospheric circulation change in the North Pacific during the Holocene inferred from lacustrine carbonate oxygen isotopes, Yukon Territory, Canada, Quat. Res., 64, 21-35, 2005.</t>
  </si>
  <si>
    <t>Andersson, C., Risebrobakken, B., Jansen, E., and Dahl, S. O.: Late Holocene surface ocean conditions of the Norwegian Sea (Vøring Plateau), Paleoceanogr., 18, 1044, doi:10.1029/2001PA000654, 2003.</t>
  </si>
  <si>
    <t>Andreev, A. A., Tarasov, P. E., Ilyashuk, B. P., Ilyashuk, E. A., Cremer, H., Hermichen, W.-D., Wischer, F., and Hubberten, H.-W.: Holocene environmental history recorded in Lake Lyadhej-To sediments, Polar Urals, Russia, Palaeogeogr., Palaeoclim., Palaeoecol., 223, 181-203, 2005.</t>
  </si>
  <si>
    <t>Andresen, C. S., Björck, S., Bennike, O., and Bond, G.: Holocene climate changes in southern Greenland: evidence from lake sediments, J. Quat. Sci., 19, 783–795, 2004.</t>
  </si>
  <si>
    <t>Andresen, C. S., Björck, S., Rundgren, M, Conley, D. J., and Jessen, C.: Rapid Holocene climate changes in the North Atlantic: evidence from lake sediments from the Faroe Islands, Boreas, 35, 23–34, 2006.</t>
  </si>
  <si>
    <t>Antonsson, K., Brooks, S. J., Seppä, H., Telford, R. J., and Birks, H. J. B.: Quantitative palaeotemperature records inferred from fossil pollen and chironomid assemblages from Lake Gilltjärnen, northern central Sweden, J. Quat. Sci., 21, 831-841, 2006.</t>
  </si>
  <si>
    <t>Antonsson, K., and Seppä, H.: Holocene temperatures in Bohuslän, southwest Sweden: a quantitative reconstruction from fossil pollen data, Boreas, 36, 400-410, 2007.</t>
  </si>
  <si>
    <t>Bakke, J., Lie, ø., Nesje, A., Dahl, S. O., and Paasche, Ø.: Utilizing physical sediment variability in glacier-fed lakes for continuous glacier reconstructions during the Holocene, northern Folgefonna, western Norway, Holocene, 15, 161-176, 2005.</t>
  </si>
  <si>
    <t>Bakke, J., Dahl, S. O., Paasche, Ø., Riis Simonsen, J., Kvisvik, B., Bakke, K., and Nesje, A.: A complete record of Holocene glacier variability at Austre Okstindbreen, northern Norway: an integrated approach, Quat. Sci. Rev., 29, 1246-1262, 2010.</t>
  </si>
  <si>
    <t>Balascio, N., Bradley, R.: Evaluating Holocene climate change in northern Norway using sediment records from two contrasting lake systems, J. Paleolimnol., 48, 259-273, 2012.</t>
  </si>
  <si>
    <t>Balascio, N. L., D'Andrea, W. J., Bradley, R. S., and Perren, B. B.: Biogeochemical evidence for hydrologic changes during the Holocene in a lake sediment record from southeast Greenland, Holocene, 23, 1428-1439, 2013.</t>
  </si>
  <si>
    <t>Belt, S. T., Vare, L. L., Massé, G., Manners, H. R., Price, J. C., MacLachlan, S. E., Andrews, J. T., and Schmidt, S.: Striking similarities in temporal changes to spring sea ice occurrence across the central Canadian Arctic Archipelago over the last 7000 years, Quat. Sci. Rev. 29, 3489-3504, 2010.</t>
  </si>
  <si>
    <t>Bender, M. M., Bryson, R. A., and Baerreis, D. A.: University of Wisconsin radiocarbon dates III, Radiocarbon, 9, 530-544, 1967.</t>
  </si>
  <si>
    <t>Bendle, J. A. P., Rosell-Melé, A.: High-resolution alkenone sea surface temperature variability on the North Icelandic Shelf: implications for Nordic Seas palaeoclimatic development during the Holocene, Holocene, 17, 9-24, 2007.</t>
  </si>
  <si>
    <t>Berner, K. S., Koç, N., Divine, D., Godtliebsen, F., and Moros, M.: A decadal-scale Holocene sea surface temperature record from the subpolar North Atlantic constructed using diatoms and statistics and its relation to other climate parameters, Paleoceanography, 23, doi: 10.1029/2006PA001339 - PA2210, 2008.</t>
  </si>
  <si>
    <t>Berner, K. S., Koç, N., and Godtliebsen, F.: High frequency climate variability of the Norwegian Atlantic Current during the early Holocene period and a possible connection to the Gleissberg cycle, Holocene, 20, 245-255, 2010.</t>
  </si>
  <si>
    <t>Bigler, C., Larocque, I., Peglar, S. M., Birks, H. J. B., and Hall, R. I.: Quantitative multiproxy assessment of long-term patterns of Holocene environmental change from a small lake near Abisko, northern Sweden, Holocene, 12, 481-496, 2002.</t>
  </si>
  <si>
    <t>Bigler, C., Grahn, E., Larocque, I., Jeziorski, A., and Hall, R.: Holocene environmental change at Lake Njulla (999 m a.s.l.), northern Sweden: a comparison with four small nearby lakes alongan altitudinal gradient, J. Paleolimnol., 29, 13-29, 2003.</t>
  </si>
  <si>
    <t>Bigler, C., Barnekow, L., Heinrichs, M., and Hall, R.: Holocene environmental history of Lake Vuolep Njakajaure (Abisko National Park, northern Sweden) reconstructed using biological proxy indicators, Veg. Hist. Archeobotany, 15, 309-320, 2006.</t>
  </si>
  <si>
    <t>Biskaborn, B. K., Herzschuh, U., Bolshiyanov, D., Savelieva, L., and Diekmann, B.: Environmental variability in northeastern Siberia during the last ~ 13,300 yr inferred from lake diatoms and sediment–geochemical parameters, Palaeogeog., Palaeoclim., Palaeoecol., 329–330, 22-36, 2012.</t>
  </si>
  <si>
    <t>Bjune, A. E., Bakke, J., Nesje, A., and Birks, H. J. B.: Holocene mean July temperature and winter precipitation in western Norway inferred from palynological and glaciological lake-sediment proxies, Holocene, 15, 177-189, 2005.</t>
  </si>
  <si>
    <t>Brooks, S. J.: Fossil midges (Diptera: Chironomidae) as palaeoclimatic indicators for the Eurasian region, Quat. Sci. Rev., 25, 1894-1910, 2006.</t>
  </si>
  <si>
    <t>Bunbury, J. and Gajewski, K.: Postglacial climates inferred from a lake at treeline, southwest Yukon Territory, Canada, Quat. Sci., Rev., 28, 354-369, 2009.</t>
  </si>
  <si>
    <t>Calvo, E., Grimalt, J., and Jansen, E.: High resolution UK37  sea surface temperature reconstruction in the Norwegian Sea during the Holocene, Quat. Sci. Rev., 21, 1385-1394, 2002.</t>
  </si>
  <si>
    <t>Came, R. E., Oppo, D. W., and McManus, J. F.: Amplitude and timing of temperature and salinity variability in the subpolar North Atlantic over the past 10 k.y., Geology, 35, 315-318, 2007.</t>
  </si>
  <si>
    <t>Camill, P., Umbanhowar, C., Jr., Geiss, C., Hobbs, W., Edlund, M., Shinneman, A., Dorale, J., and Lynch, J.: Holocene climate change and landscape development from a low-Arctic tundra lake in the western Hudson Bay region of Manitoba, Canada. J. Paleolimnol., 48, 175-192, 2012.</t>
  </si>
  <si>
    <t>Chakraborty, K., Finkelstein, S. A., Desloges, J. R., and Chow, N. A.: Holocene paleoenvironmental changes inferred from diatom assemblages in sediments of Kusawa Lake, Yukon Territory, Canada. Quat. Res., 74, 15-22, 2010.</t>
  </si>
  <si>
    <t>Clegg, B. F. and Hu, F. S.: An oxygen-isotope record of Holocene climate change in the south-central Brooks Range, Alaska, Quat. Sci. Rev., 29, 928-939, 2010.</t>
  </si>
  <si>
    <t>Clegg, B. F., Clarke, G. H., Chipman, M. L., Chou, M., Walker, I. R., Tinner, W., and Hu, F. S.: Six millennia of summer temperature variation based on midge analysis of lake sediments from Alaska, Quat. Sci. Rev., 29, 3308-3316, 2010.</t>
  </si>
  <si>
    <t>Clegg, B. F., Kelly, R., Clarke, G. H., Walker, I. R., and Hu, F. S.: Nonlinear response of summer temperature to Holocene insolation forcing in Alaska, P. Natl. Acad. Sci. USA, 108, 19299-19304, 2011.</t>
  </si>
  <si>
    <t>Cwynar, L. C.: A late Quaternary vegetation history from Lily Lake, Chilkat Peninsula, southeast Alaska, Can. J. Bot., 68, 1106-1112, 1990.</t>
  </si>
  <si>
    <t>Cwynar, L. C., and Spear, R. W.: Paleovegetation and Paleoclimatic Changes in the Yukon at 6 ka BP, Geogr. Phys. Quatern.,  49, 29-35, 1995.</t>
  </si>
  <si>
    <t>D’Andrea, W. J., Huang, Y., Fritz, S. C., and Anderson, N. J.: Abrupt Holocene climate change as an important factor for human migration in West Greenland, P. Natl. Acad. Sci. USA, 108, 9765-9769, 2011.</t>
  </si>
  <si>
    <t>de Vernal, A., Hillaire-Marcel, C.: Provincialism in trends and high frequency changes in the northwest North Atlantic during the Holocene, Glob. Planet. Chan., 54, 263-290, 2006.</t>
  </si>
  <si>
    <t>de Vernal, A., Henry, M., Matthiessen, J., Mudie, P.J., Rochon, A., Boessenkool, K., Eynaud, F., Grøsfjeld, K., Guiot, J., Hamel, D. , Harland, R., Head, M.J., Kunz-Pirrung, M., Levac, E., Loucheur, V., Peyron, O., Pospelova, V., Radi, T., Turon, J.-L., Voronina, E.: Dinoflagellate cyst assemblages as tracers of sea-surface conditions in the northern North Atlantic, Arctic and sub-Arctic seas: the new ‘n = 677’ database and application for quantitative paleoceanographical reconstruction, J. Quat. Sci., 16, 681-699, 2001.</t>
  </si>
  <si>
    <t>de Vernal, A., Hillaire-Marcel, C., Darby, D.: Variability of sea ice cover in the Chukchi Sea (western Arctic Ocean) during the Holocene, Paleoceanogr., 20, PA4018, doi:10.1029/2005PA001157, 2005.</t>
  </si>
  <si>
    <t>de Vernal, A., Hillaire-Marcel, C., Rochon, A., Fréchette, B., Henry, M., Solignac, S., Bonnet, S.: Dinocyst-based reconstructions of sea ice cover concentration during the Holocene in the Arctic Ocean, the northern North Atlantic Ocean and its adjacent seas, Quat. Sci. Rev., 79, 111-121, 2013.</t>
  </si>
  <si>
    <t>Fallu, M.-A., Pienitz, R., Walker, I. R., and Lavoie, M.: Paleolimnology of a shrub-tundra lake and response of aquatic and terrestrial indicators to climatic change in arctic Québec, Canada, Palaeogeogr., Palaeoclim., Palaeoecol., 215, 183-203, 2005.</t>
  </si>
  <si>
    <t>Farmer, J. R., Cronin, T. M., de Vernal, A., Dwyer, G. S., Keigwin, L. D., and Thunell, R. C.: Western Arctic Ocean temperature variability during the last 8000 years, Geophys. Res. Lett., 38, L24602, doi:10.1029/2011GL049714, 2011.</t>
  </si>
  <si>
    <t>Finney, B., Bigelow, N., Barber, V., and Edwards, M.: Holocene climate change and carbon cycling in a groundwater-fed, boreal forest lake: Dune Lake, Alaska, J. Paleolimnol., 48, 43-54, 2012.</t>
  </si>
  <si>
    <t>Fisher, D. A., Koerner, R. M., Paterson, W. S. B., Dansgaard, W., Gundestrup, N., and Reeh, N.: Effect of wind scouring on climatic records from ice-core oxygen-isotope profiles, Nature, 301, 205-209, 1983.</t>
  </si>
  <si>
    <t>Fisher, D. A., Koerner, R. M., Bourgeois, J. C., Zielinski, G., Wake, C., Hammer, C. U., Clausen, H. B., Gundestrup, N., Johnsen, S., Goto-Azuma, K., Hondoh, T., Blake, E., and Gerasimoff, M.: Penny Ice Cap fores, Baffin Island, Canada, and the Wisconsinan Foxe Dome connection: Two etates of Hudson Bay ice cover, Science, 279, 692-695, 1998.</t>
  </si>
  <si>
    <t>Fisher, D., Osterberg, E., Dyke, A., Dahl-Jensen, D., Demuth, M., Zdanowicz, C., Bourgeois, J., Koerner, R. M., Mayewski, P., Wake, C., Kreutz, K., Steig, E., Zheng, J., Yalcin, K., Goto-Azuma, K., Luckman, B., and Rupper, S.: The Mt Logan Holocene—late Wisconsinan isotope record: tropical Pacific—Yukon connections, Holocene, 18, 667-677, 2008.</t>
  </si>
  <si>
    <t>Fréchette, B. and de Vernal, A., Relationship between Holocene climate variations over southern Greenland and eastern Baffin Island and synoptic circulation pattern, Clim. Past, 5, 347-359, 2009.</t>
  </si>
  <si>
    <t>Gajewski, K., Payette, S., and Ritchie, J. C.: Holocene Vegetation History at the Boreal-Forest--Shrub-Tundra Transition in North-Western Quebec, J. Ecology, 81, 433-443, 1993.</t>
  </si>
  <si>
    <t>Geirsdóttir, Á., Miller, G. H., Larsen, D. J., and Ólafsdóttir, S.: Abrupt Holocene climate transitions in the northern North Atlantic region recorded by synchronized lacustrine records in Iceland, Quat. Sci. Rev., 70, 48-62, 2013.</t>
  </si>
  <si>
    <t>Giraudeau, J., Cremer, M., Manthe, S., Labeyrie, L., and Bond, G.: Coccolith evidence for instabilities in surface circulation south of Iceland during Holocene times, Earth and Planet. Sci. Lett., 179, 257-268, 2000.</t>
  </si>
  <si>
    <t>Grudd, H., Briffa, K.R., Karlén, W., Bartholin, T.S., Jones, P.D., Kromer, B.: A 7400-year tree-ring chronology in northern Swedish Lapland: natural climatic variability expressed on annual to millennial timescales, Holocene, 12, 657–665, 2002.</t>
  </si>
  <si>
    <t>Hald, M., Andersson, C., Ebbesen, H., Jansen, E., Klitgaard-Kristensen, D., Risebrobakken, B., Salomonsen, G. R., Sarnthein, M., Sejrup, H. P., and Telford, R. J.: Variations in temperature and extent of Atlantic Water in the northern North Atlantic during the Holocene, Quat. Sci. Rev., 26, 3423-3440, 2007.</t>
  </si>
  <si>
    <t>Hammarlund, D., Barnekow, L., Birks, H.J.B., Buckardt, B., Edwards, T.W.D.: Holocene changes in atmospheric circulation recorded in the oxygen-isotope stratigraphy of lacustrine carbonates from northern Sweden, Holocene, 12, 339-351, 2002.</t>
  </si>
  <si>
    <t>Hammarlund, D., Björck, S., Buchardt, B., Israelson, C., and Thomsen, C. T.: Rapid hydrological changes during the Holocene revealed by stable isotope records of lacustrine carbonates from Lake Igelsjön, southern Sweden, Quat. Sci. Rev., 22, 353-370, 2003.</t>
  </si>
  <si>
    <t>Hammarlund, D., Velle, G., Wolfe, B. B., Edwards, T. W. D., Barnekow, L., Bergman, J., Holmgren, S., Lamme, S., Snowball, I., Wohlfarth, B., and Possnert, G.: Palaeolimnological and sedimentary responses to Holocene forest retreat in the Scandes Mountains, west-central Sweden, Holocene, 14, 862-876, 2004.</t>
  </si>
  <si>
    <t>Heikkilä, M. and Seppä, H.: A 11,000 yr palaeotemperature reconstruction from the southern boreal zone in Finland, Quat. Sci. Rev., 22, 541-554, 2003.</t>
  </si>
  <si>
    <t>Heikkilä, M., Edwards, T. W. D., Seppä, H., and Sonninen, E.: Sediment isotope tracers from Lake Saarikko, Finland, and implications for Holocene hydroclimatology, Quat. Sci. Rev., 29, 2146-2160, 2010.</t>
  </si>
  <si>
    <t>Helama, S., Fauria, M., Mielikäinen, K., Timonen, M., Eronen, M.: Sub-Milankovitch solar forcing of past climates: mid and late Holocene perspectives, Geol. Soc. Am. Bull., 122, 1981–1988, 2010.</t>
  </si>
  <si>
    <t>Hu, F. S., Ito, E., Brubaker, L. B., and Anderson, P. M.: Ostracode geochemical record of Holocene climatic change and implications for vegetational response in the northwestern Alaska Range, Quat. Res., 49, 86-95, 1998.</t>
  </si>
  <si>
    <t>Husum, K. and Hald, M.: A continuous marine record 8000-1600 cal. yr BP from the Malangenfjord, north Norway: foraminiferal and isotopic evidence, Holocene, 14, 877-887.</t>
  </si>
  <si>
    <t>Ilyashuk, E. A., Ilyashuk, B. P., Hammarlund, D., and Larocque, I.: Holocene climatic and environmental changes inferred from midge records (Diptera: Chironomidae, Chaoboridae, Ceratopogonidae) at Lake Berkut, southern Kola Peninsula, Russia, Holocene, 15, 897-914, 2005.</t>
  </si>
  <si>
    <t>Irvine, F., Cwynar, L. C., Vermaire, J. C., and Rees, A. B. H.: Midge-inferred temperature reconstructions and vegetation change over the last~ 15,000 years from Trout Lake, northern Yukon Territory, eastern Beringia, J. Paleolimnol., 48, 133-146, 2012.</t>
  </si>
  <si>
    <t>Janbu, A.D., Paasche, Ø., Talbot, and M.R.: Paleoclimate changes inferred from stable isotopes and magnetic properties of organic-rich lake sediments in Arctic Norway, J. Paleolimnol., 46, 29-44, 2011.</t>
  </si>
  <si>
    <t>Jennings, A.E., Andrews, J., and Wilson, L.: Holocene environmental evolution of the SE Greenland Shelf North and South of the Denmark Strait: Irminger and East Greenland current interactions, Quat. Sci. Rev., 30, 980-998, 2011.</t>
  </si>
  <si>
    <t>Jennings, A.E., Weiner, N.J., Helgadóttir, G., Andrews, J.T.: Modern foraminiferal faunas of the SW to N Iceland shelf: Oceanographic and environmental controls, J. Foramin. Res., 34, 180-207, 2004.</t>
  </si>
  <si>
    <t>Jones, V. J., Leng, M. J., Solovieva, N., Sloane, H. J., and Tarasov, P.: Holocene climate of the Kola Peninsula; evidence from the oxygen isotope record of diatom silica, Quat. Sci. Rev., 23, 833-839, 2004.</t>
  </si>
  <si>
    <t>Jones, V. J., Solovieva, N., Self, A. E., McGowan, S., Rosin, P., and Salonen, J. S., Seppä, H., Väliranta, M., Parrott, E., and Brooks, S. J.: The influence of Holocene tree-line advance and retreat on an arctic lake ecosystem: a multi-proxy study from Kharinei Lake, North Eastern European Russia, J. Paleolim., 46, 123–137, 2011.</t>
  </si>
  <si>
    <t>Justwan, A., Koç, N., and Jennings, A. E.: Evolution of the Irminger and East Icelandic Current systems through the Holocene, revealed by diatom-based sea surface temperature reconstructions, Quat. Sci. Rev., 27, 1571-1582, 2008.</t>
  </si>
  <si>
    <t>Kaplan, M. R., Wolfe, A. P., and Miller, G. H.: Holocene environmental variability in southern Greenland inferred from lake sediments, Quat. Res., 58, 149-159, 2002.</t>
  </si>
  <si>
    <t>Kaufman, D. S., Axford, Y., Anderson, R. S., Lamoureux, S. F., Schindler, D. E., Walker, I. R., and Werner, A.: A multi-proxy record of the Last Glacial Maximum and last 14,500 years of paleoenvironmental change at Lone Spruce Pond, southwestern Alaska, J. Paleolimnol., 48, 9-26, 2012.</t>
  </si>
  <si>
    <t>Kerwin, M.W., Overpeck, J.T., Webb, R.S., Anderson, K.H.: Pollen-based summer temperature reconstructions for the eastern Canadian boreal forest, subarctic, and Arctic, Quat. Sci. Rev., 23, 1901-1924, 2004.</t>
  </si>
  <si>
    <t>Klitgaard-Kristensen, D., Sejrup, H. P., and Haflidason, H.: The last 18 kyr fluctuations in Norwegian sea surface conditions and implications for the magnitude of climatic change: Evidence from the North Sea, Paleoceanogr., 16, 455-467, 2001.</t>
  </si>
  <si>
    <t>Korhola, A., Weckström, J., Holmström, L., and Erästö, P.: A quantitative Holocene climatic record from diatoms in northern Fennoscandia, Quat. Res., 54, 284-294, 2000.</t>
  </si>
  <si>
    <t>Korhola, A., Vasko, K., Toivonen, H. T. T., and Olander, H.: Holocene temperature changes in northern Fennoscandia reconstructed from chironomids using Bayesian modelling, Quat. Sci. Rev., 21, 1841-1860, 2002.</t>
  </si>
  <si>
    <t>Larocque, I. and Bigler, C.: Similarities and discrepancies between chironomid- and diatom-inferred temperature reconstructions through the Holocene at Lake 850, northern Sweden, Quat. Sci. Rev., 122, 109-121, 2004.</t>
  </si>
  <si>
    <t>Larsen, D. J., Miller, G. H., Geirsdóttir, Á., and Ólafsdóttir, S.: Non-linear Holocene climate evolution in the North Atlantic: a high-resolution, multi-proxy record of glacier activity and environmental change from Hvítárvatn, central Iceland, Quat. Sci. Rev., 39, 14-25, 2012.</t>
  </si>
  <si>
    <t>Ledu, D. Rochon, A., de Vernal, A., St-Onge, G. Holocene sea-ice history and climate variability along the main axis of the Northwest Passage, Can. Arctic Paleoceanogr., 25, PA2213, doi:10.1029/2009PA001817, 2010.</t>
  </si>
  <si>
    <t>Levac, E., de Vernal, A., Blake, W. Jr. Holocene paleoceanography of the northernmost Baffin Bay: palynological evidence, J. Quat. Sci., 16, 353-363, 2001.</t>
  </si>
  <si>
    <t>Levy, L. B., Kaufman, D. S., and Werner, A.: Holocene glacier fluctuations, Waskey Lake, northeastern Ahklun Mountains, southwestern Alaska, Holocene, 14, 185-193, 2004.</t>
  </si>
  <si>
    <t>Linge, H., Lauritzen, S.-E., Andersson, C., Hansen, J. K., Skoglund, R. Ø., and Sundqvist, H. S.: Stable isotope records for the last 10 000 years from Okshola cave (Fauske, northern Norway) and regional comparisons, Clim. Past, 5, 667-682, 2009.</t>
  </si>
  <si>
    <t>Lloyd, J. M., Kuijpers, A., Long, A., Moros, M., and Park, L. A.: Foraminiferal reconstruction of mid- to late-Holocene ocean circulation and climate variability in Disko Bugt, West Greenland, Holocene, 17, 1079-1091, 2007.</t>
  </si>
  <si>
    <t>MacDonald, G. M., Edwards, T. W. D., Moser, K. A., Pienitz, R., and Smol, J. P.: Rapid response of treeline vegetation and lakes to past climate warming, Nature, 361, 243-246, 1993.</t>
  </si>
  <si>
    <t>Mann, D. H., Heiser, P. A., and Finney, B. P.: Holocene history of the Great Kobuk sand dunes, northwestern Alaska, Quat. Sci. Rev., 21, 709-731, 2002.</t>
  </si>
  <si>
    <t>Marchal, O., Cacho, I., Stocker, T. F., Grimalt, J. O., Calvo, E., Martrat, B., Shackleton, N., Vautravers, M., Cortijo, E., van Kreveld, S., Andersson, C., Koç, N., Chapman, M., Sbaffi, L., Duplessy, J.-C., Sarnthein, M., Turon, J.-L., Duprat, J., and Jansen, E.: Apparent long-term cooling of the sea surface in the northeast Atlantic and Mediterranean during the Holocene, Quat. Sci. Rev., 21, 455-483, 2002.</t>
  </si>
  <si>
    <t>McKay, N., and Kaufman, D.: Holocene climate and glacier variability at Hallet and Greyling Lakes, Chugach Mountains, south-central Alaska, J. Paleolimnol., 41, 143-159, 2009.</t>
  </si>
  <si>
    <t>McKay, J.L., de Vernal, A., Hillaire-Marcel, C., Not, C., Polyak, L., Darby, D.: Holocene fluctuations in Arctic sea-ice cover: Dinocyst-based reconstructions for the eastern Chukchi Sea, Can. J. Earth Sci., 45, 1377-1397, 2008.</t>
  </si>
  <si>
    <t>Miller, G. H., Wolfe, A. P., Briner, J. P., Sauer, P. E., and Nesje, A.: Holocene glaciation and climate evolution of Baffin Island, Arctic Canada, Quaternary Land-ocean Correl., 24, 1703-1721, 2005.</t>
  </si>
  <si>
    <t>Nesje, A., Matthews, J. A., Dahl, S. O., Berrisford, M. S., and Andersson, C.: Holocene glacier fluctuations of Flatebreen and winter-precipitation changes in the Jostedalsbreen region, western Norvay, based on glaciolacustrine sediment records, Holocene, 11, 267-280, 2001.</t>
  </si>
  <si>
    <t>Ólafsdóttir, S., Jennings, A. E., Geirsdóttir, Á., Andrews, J., and Miller, G. H.: Holocene variability of the North Atlantic Irminger current on the south- and northwest shelf of Iceland, Mar. Micropaleontol., 77, 101-118, 2010.</t>
  </si>
  <si>
    <t>Olsen, J., Björck, S., Leng, M. J., Gudmundsdottir, E. R., Odgaard, B. V., Lutz, C. M., Kendrick, C. P., Andersen, T. J., and Seidenkrantz, M.-S.: Lacustrine evidence of Holocene environmental change from three Faroese lakes: a multproxy XRF and stable isotope study, Quat. Sci. Rev., 29, 2764-2780, 2010.</t>
  </si>
  <si>
    <t>Peros, M. C. and Gajewski, K.: Holocene climate and vegetation change on Victoria Island, western Canadian Arctic, Quat. Sci. Rev., 27, 235-249, 2008.</t>
  </si>
  <si>
    <t>Peros, M., Gajewski, K., Paull, T., Ravindra, R., and Podritske, B.: Multi-proxy record of postglacial environmental change, south-central Melville Island, Northwest Territories, Canada, Quat. Res., 73, 247-258, 2010.</t>
  </si>
  <si>
    <t>Perren, B., Anderson, N. J., Douglas, M. V., and Fritz, S.: The influence of temperature, moisture, and eolian activity on Holocene lake development in West Greenland, J. Paleolimnol., 48, 223-239, 2012.</t>
  </si>
  <si>
    <t>Risebrobakken, B., Jansen, E., Andersson, C., Mjelde, E., and Hevrøy, K.: A high-resolution study of Holocene paleoclimatic and paleoceanographic changes in the Nordic Seas, Paleoceanography, 18, 1017, doi:10.1029/2002PA000764, 2003.</t>
  </si>
  <si>
    <t>Rosén, P., Segerström, U., Eriksson, L., Renberg, I., and Birks, H. J. B.: Holocene climatic change reconstructed from diatoms, chironomids, pollen and near-infrared spectroscopy at an alpine lake (Sjuodjijaure) in northern Sweden, Holocene, 11, 551-562, 2001.</t>
  </si>
  <si>
    <t>Sarmaja-Korjonen, K., and Seppä, H.: Abrupt and consistent responses of aquatic and terrestrial ecosystems to the 8200 cal. yr cold event: a lacustrine record from Lake Arapisto, Finland, Holocene, 17, 457-467, 2007.</t>
  </si>
  <si>
    <t>Sarnthein, M., Van Kreveld, S., Erlenkeuser, H., Grootes, P. M., Kucera, M., Pflaumann, U., and Schulz, M.: Centennial-to-millennial-scale periodicities of Holocene climate and sediment injections off the western Barents shelf, 75°N, Boreas, 32, 447-461, 2003.</t>
  </si>
  <si>
    <t>Schiff, C.J., Kaufman, D.S., Wolfe, A., Dodd, J., and Sharp, Z.: Late Holocene storm-trajectory changes inferred from the oxygen isotope composition of lake diatoms, south Alaska, J. Paleolimnol., 41, 189-208, 2009.</t>
  </si>
  <si>
    <t>Sejrup, H.P., Haflidason, H., Hjelstuen, B.O., Nygård, A., Bryn, P., Lien, R.: Pleistocene development of the SE Nordic Seas margin, Mar. Geol., 213, 169-200, 2004a.</t>
  </si>
  <si>
    <t>Sejrup, H. P., Haflidason, H., and Andrews, J. T.: A Holocene North Atlantic SST record and regional climate variability, Quat. Sci. Rev., 30, 3181–3195, 2011.</t>
  </si>
  <si>
    <t>Seppä, H. and Birks, H. J. B.: July mean temperature and annual precipitation trends during the Holocene in the Fennoscandian tree-line area: pollen-based climate reconstructions, Holocene, 11, 527-539, 2001.</t>
  </si>
  <si>
    <t>Seppä, H. and Birks, H. J. B.: Holocene Climate Reconstructions from the Fennoscandian Tree-Line Area Based on Pollen Data from Toskaljävri, Quat. Res., 57, 191-199, 2002.</t>
  </si>
  <si>
    <t>Seppä, H. and Poska, A.: Holocene annual mean temperature changes in Estonia and their relationship to solar insolation and atmospheric circulation patterns, Quat. Res., 61, 22-31, 2004.</t>
  </si>
  <si>
    <t>Seppä, H., Nyman, M., Korhola, A., and Weckström, J.: Changes of treelines and alpine vegetation in relation to post-glacial climate dynamics in northern Fennoscandia based on pollen and chironomid records, J. Quat. Sci., 17, 287-301, 2002.</t>
  </si>
  <si>
    <t>Seppä, H., Hammarlund, D., and Antonsson, K.: Low-frequency and high-frequency changes in temperature and effective humidity during the Holocene in south-central Sweden: implications for atmospheric and oceanic forcings of climate, Clim. Dynam., 25, 285-297, 2005.</t>
  </si>
  <si>
    <t>Seppä, H., MacDonald, G. M., Birks, H. J. B., Gervais, B. R., and Snyder, J. A.: Late-Quaternary summer temperature changes in the northern-European tree-line region. Quat. Res., 69, 404-412, 2008.</t>
  </si>
  <si>
    <t>Seppä, H., Bjune, A.E., Telford, R.J., Birks, H.J.B. and Veski, S.: Last nine-thousand years of temperature variability in Northern Europe, Clim. Past, 5, 523-535, 2009.</t>
  </si>
  <si>
    <t>Shemesh, A., Rosqvist, G., Rietti-Shati, M., Rubensdotter, L., Bigler, C., Yam, R., and Karlén, W.: Holocene climatic change in Swedish Lapland inferred from an oxygen-isotope record of lacustrine biogenic silica, Holocene, 11, 447-454, 2001.</t>
  </si>
  <si>
    <t>Solignac, S., Giraudeau, J., and de Vernal, A.: Holocene sea surface conditions in the western North Atlantic: spatial and temporal heterogeneities, Paleoceanogr., 21, PA2004, doi:10.1029/2005PA001175, 2006.</t>
  </si>
  <si>
    <t>Solovieva, N., Tarasov, P. E., and MacDonald, G.: Quantitative reconstruction of Holocene climate from the Chuna Lake pollen record, Kola Peninsula, northwest Russia, Holocene, 15, 141-148, 2005.</t>
  </si>
  <si>
    <t>St. Amour, N. A., Hammarlund, D. A. N., Edwards, T. W. D., and Wolfe, B. B.: New insights into Holocene atmospheric circulation dynamics in central Scandinavia inferred from oxygen-isotope records of lake-sediment cellulose, Boreas, 39, 770-782, 2010.</t>
  </si>
  <si>
    <t>Szeicz, J. M., MacDonald, G. M., and Duk-Rodkin, A.: Late Quaternary vegetation history of the central Mackenzie Mountains, Northwest Territories, Canada, Palaeogeogr., Palaeclim., Palaeoecol., 113, 351-371, 1995.</t>
  </si>
  <si>
    <t>Thornalley, D. J. R., Elderfield, H., and McCave, I. N.: Holocene oscillations in temperature and salinity of the surface subpolar North Atlantic, Nature, 457, 711-714, 2009.</t>
  </si>
  <si>
    <t>Tillman, P.K., Holzkämper, S., Kuhry, P., Sannel, A.B.K., Loader, N.J. and Robertson, I.: Long-term climate variability in continental subarctic Canada: A 6200-year record derived from stable isotopes in peat, Palaeogeogr., Palaeoclim., Palaeoecol., 298, 235-246, 2010.</t>
  </si>
  <si>
    <t>Vare, L. L., Massé, G., Gregory, T. R., Smart, C. W., and Belt, S. T.: Sea ice variations in the central Canadian Arctic Archipelago during the Holocene, Quat. Sci. Rev., 28, 1354-1366, 2009.</t>
  </si>
  <si>
    <t>Vasskog, K., Paasche, Ø., Nesje, A., Boyle, J. F., and Birks, H. J. B.: A new approach for reconstructing glacier variability based on lake sediments recording input from more than one glacier, Quat. Res., 77, 192-204, 2012.</t>
  </si>
  <si>
    <t>Viau, A. E. and Gajewski, K.: Reconstructing millennial-scale, regional paleoclimates of boreal Canada during the Holocene, J. Climate, 22, 316-330, 2009.</t>
  </si>
  <si>
    <t>Vinther, B. M., Andersen, K. K., Jones, P. D., Briffa, K. R., and Cappelen, J.: Extending Greenland temperature records into the late eighteenth century, J. Geophys. Res., 111, D11105, doi:10.1029/2005JD006810, 2006.</t>
  </si>
  <si>
    <t>Vinther, B. M., Buchardt, S. L., Clausen, H. B., Dahl-Jensen, D., Johnsen, S. J., Fisher, D. A., Koerner, R. M., Raynaud, D., Lipenkov, V., Andersen, K. K., Blunier, T., Rasmussen, S. O., Steffensen, J. P., and Svensson, A. M.: Holocene thinning of the Greenland ice sheet, Nature, 461, 385-388, 2009.</t>
  </si>
  <si>
    <t>Voronina, E., Polyak, L., de Vernal, A., and Peyron, O.: Holocene variations of sea-surface conditions in the southeastern Barents Sea, reconstructed from dinoflagellate cyst assemblages, J. Quat. Sci., 16, 717-727, 2001.</t>
  </si>
  <si>
    <t>Vorren, K.-D., Blaauw, M., Wastegård, S., Plicht, J. V. D., and Jensen, C.: High-resolution stratigraphy of the northernmost concentric raised bog in Europe: Sellevollmyra, Andøya, northern Norway, Boreas, 36, 253-277, 2007.</t>
  </si>
  <si>
    <t>Vorren, K.-D., Jensen, C. E., and Nilssen, E.: Climate changes during the last c. 7500 years as recorded by the degree of peat humification in the Lofoten region, Norway, Boreas, 41, 13-30, 2012.</t>
  </si>
  <si>
    <t>Willemse, N. W., and Törnqvist, T. E.: Holocene century-scale temperature variability from West Greenland lake records, Geology, 27, 580-584, 1999.</t>
  </si>
  <si>
    <t>Wolfe, B. B., Edwards, T. W. D., Aravena, R., Forman, S. L., Warner, B. G., Velichko, A. A., and MacDonald, G. M.: Holocene Paleohydrology and Paleoclimate at Treeline, North-Central Russia, Inferred from Oxygen Isotope Records in Lake Sediment Cellulose, Quat. Res., 53, 319-329, 2000.</t>
  </si>
  <si>
    <t>Wooller, M.J., Kurek, J., Gaglioti, B.V., Cwynar, L.C., Bigelow, N., Reuther, J.D., Gelvin-Reymiller, C., Smol, J. P.: An ~11,200 year paleolimnological perspective for emerging archaeological findings at Quartz Lake, Alaska, J. Paleolimnol., 48, 83-99, 2012.</t>
  </si>
  <si>
    <t>Zabenskie, S. and Gajewski, K.: Post-Glacial climatic change on Boothia Peninsula, Nunavut, Canada, Quat. Res. 68, 261-270, 2007.</t>
  </si>
  <si>
    <r>
      <t xml:space="preserve">Barnekow, L., Loader, N.J., Hicks, S., Froyd, C.A., Goslar, T.: Strong correlation between summer temperature and pollen accumulation rates </t>
    </r>
    <r>
      <rPr>
        <i/>
        <sz val="11"/>
        <color rgb="FF000000"/>
        <rFont val="Arial"/>
        <family val="2"/>
        <charset val="1"/>
      </rPr>
      <t>for Pinus sylvestris, Picea abies</t>
    </r>
    <r>
      <rPr>
        <sz val="11"/>
        <color rgb="FF000000"/>
        <rFont val="Arial"/>
        <family val="2"/>
        <charset val="1"/>
      </rPr>
      <t xml:space="preserve"> and </t>
    </r>
    <r>
      <rPr>
        <i/>
        <sz val="11"/>
        <color rgb="FF000000"/>
        <rFont val="Arial"/>
        <family val="2"/>
        <charset val="1"/>
      </rPr>
      <t>Betula</t>
    </r>
    <r>
      <rPr>
        <sz val="11"/>
        <color rgb="FF000000"/>
        <rFont val="Arial"/>
        <family val="2"/>
        <charset val="1"/>
      </rPr>
      <t xml:space="preserve"> spp. in a high-resolution record from northern Sweden, J. Quat. Sci., 22, 653-658, 2007.</t>
    </r>
  </si>
  <si>
    <r>
      <t>Smith, L. M., Andrews, J. T., Castañeda, I. S., Kristjánsdóttir, G. B., Jennings, A. E., and Sveinbjörnsdóttir, Á. E.: Temperature reconstructions for SW and N Iceland waters over the last 10 cal ka based on δ</t>
    </r>
    <r>
      <rPr>
        <vertAlign val="superscript"/>
        <sz val="11"/>
        <color rgb="FF000000"/>
        <rFont val="Arial"/>
        <family val="2"/>
      </rPr>
      <t>18</t>
    </r>
    <r>
      <rPr>
        <sz val="11"/>
        <color rgb="FF000000"/>
        <rFont val="Arial"/>
        <family val="2"/>
        <charset val="1"/>
      </rPr>
      <t>O records from planktic and benthic Foraminifera, Quat. Sci. Rev., 24, 1723-1740, 2005.</t>
    </r>
  </si>
  <si>
    <r>
      <t>Wolfe, B. B., Edwards, T. W. D., Aravena, R., and MacDonald, G. M.: Rapid Holocene hydrologic change along boreal treeline revealed by d</t>
    </r>
    <r>
      <rPr>
        <vertAlign val="superscript"/>
        <sz val="11"/>
        <color rgb="FF000000"/>
        <rFont val="Arial"/>
        <family val="2"/>
      </rPr>
      <t>13</t>
    </r>
    <r>
      <rPr>
        <sz val="11"/>
        <color rgb="FF000000"/>
        <rFont val="Arial"/>
        <family val="2"/>
        <charset val="1"/>
      </rPr>
      <t>C and d</t>
    </r>
    <r>
      <rPr>
        <vertAlign val="superscript"/>
        <sz val="11"/>
        <color rgb="FF000000"/>
        <rFont val="Arial"/>
        <family val="2"/>
      </rPr>
      <t>18</t>
    </r>
    <r>
      <rPr>
        <sz val="11"/>
        <color rgb="FF000000"/>
        <rFont val="Arial"/>
        <family val="2"/>
        <charset val="1"/>
      </rPr>
      <t>O in organic lake sediments, Northwest Territories, Canada, J. Paleolimnol., 15, 171–181, 1996.</t>
    </r>
  </si>
  <si>
    <t>BSi, d13C, C:N, TOC, MS, sed_acc_rate</t>
  </si>
  <si>
    <t>XRF, d13C, C, N, S, MS</t>
  </si>
  <si>
    <t>permil.smow</t>
  </si>
  <si>
    <t>permil.pdb</t>
  </si>
  <si>
    <r>
      <t>Table 1</t>
    </r>
    <r>
      <rPr>
        <sz val="14"/>
        <color rgb="FF000000"/>
        <rFont val="Arial"/>
        <family val="2"/>
        <charset val="1"/>
      </rPr>
      <t>. Sites with proxy records in the database arranged by six Arctic regions. Some sites include more than one proxy record (see Table 2).</t>
    </r>
  </si>
  <si>
    <t>forams, d18O.foram</t>
  </si>
  <si>
    <r>
      <t>Table 2.</t>
    </r>
    <r>
      <rPr>
        <sz val="14"/>
        <color rgb="FF000000"/>
        <rFont val="Arial"/>
        <family val="2"/>
        <charset val="1"/>
      </rPr>
      <t xml:space="preserve"> Proxy records in the database arranged by six Arctic regions. See Table 1 for information about each site.</t>
    </r>
  </si>
  <si>
    <t>multi-proxy_PC_score</t>
  </si>
  <si>
    <t>BSi, d13C.bulk, C/N, OM, DBD, sed_rate</t>
  </si>
  <si>
    <t>d13C.bulk, C/N, OM, MS, sed_flux</t>
  </si>
  <si>
    <t>NE North Atlantic</t>
  </si>
  <si>
    <t>d13C.bulk</t>
  </si>
  <si>
    <t>References cited in Table S1.</t>
  </si>
  <si>
    <t>References cited in Table 1.</t>
  </si>
  <si>
    <t>Proxy type abbreviations as follows: BSi = biogenic-silica content; DBD = dry bulk density; MAR = mass accumulation rate; MS = magnetic susceptibility; N, C, S = nitrogen, carbon, sulfur; OM = organic-matter content; TOC = total organic carbon</t>
  </si>
  <si>
    <t>Elev (m)</t>
  </si>
  <si>
    <t>s53s52</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</si>
</sst>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5" x14ac:knownFonts="1">
    <font>
      <sz val="12"/>
      <color rgb="FF000000"/>
      <name val="Calibri"/>
      <family val="2"/>
      <charset val="1"/>
    </font>
    <font>
      <sz val="11"/>
      <color rgb="FF000000"/>
      <name val="Calibri"/>
      <family val="2"/>
      <charset val="1"/>
    </font>
    <font>
      <sz val="11"/>
      <color rgb="FF000000"/>
      <name val="Arial"/>
      <family val="2"/>
      <charset val="1"/>
    </font>
    <font>
      <b/>
      <sz val="11"/>
      <color rgb="FF000000"/>
      <name val="Arial"/>
      <family val="2"/>
      <charset val="1"/>
    </font>
    <font>
      <i/>
      <sz val="11"/>
      <color rgb="FF000000"/>
      <name val="Arial"/>
      <family val="2"/>
      <charset val="1"/>
    </font>
    <font>
      <b/>
      <sz val="11"/>
      <name val="Arial"/>
      <family val="2"/>
      <charset val="1"/>
    </font>
    <font>
      <b/>
      <i/>
      <sz val="11"/>
      <name val="Arial"/>
      <family val="2"/>
      <charset val="1"/>
    </font>
    <font>
      <b/>
      <i/>
      <sz val="11"/>
      <color rgb="FF000000"/>
      <name val="Arial"/>
      <family val="2"/>
      <charset val="1"/>
    </font>
    <font>
      <i/>
      <sz val="11"/>
      <name val="Arial"/>
      <family val="2"/>
      <charset val="1"/>
    </font>
    <font>
      <u/>
      <sz val="12"/>
      <color theme="10"/>
      <name val="Calibri"/>
      <family val="2"/>
      <charset val="1"/>
    </font>
    <font>
      <u/>
      <sz val="12"/>
      <color theme="11"/>
      <name val="Calibri"/>
      <family val="2"/>
      <charset val="1"/>
    </font>
    <font>
      <sz val="11"/>
      <name val="Arial"/>
      <family val="2"/>
    </font>
    <font>
      <b/>
      <sz val="11"/>
      <color rgb="FF000000"/>
      <name val="Arial"/>
      <family val="2"/>
    </font>
    <font>
      <sz val="11"/>
      <color rgb="FF000000"/>
      <name val="Arial"/>
      <family val="2"/>
    </font>
    <font>
      <i/>
      <sz val="11"/>
      <color rgb="FF000000"/>
      <name val="Arial"/>
      <family val="2"/>
    </font>
    <font>
      <b/>
      <i/>
      <sz val="11"/>
      <color rgb="FF000000"/>
      <name val="Arial"/>
      <family val="2"/>
    </font>
    <font>
      <sz val="11"/>
      <color indexed="8"/>
      <name val="Arial"/>
      <family val="2"/>
    </font>
    <font>
      <b/>
      <sz val="14"/>
      <color rgb="FF000000"/>
      <name val="Arial"/>
      <family val="2"/>
      <charset val="1"/>
    </font>
    <font>
      <sz val="14"/>
      <color rgb="FF000000"/>
      <name val="Arial"/>
      <family val="2"/>
      <charset val="1"/>
    </font>
    <font>
      <sz val="14"/>
      <color rgb="FF000000"/>
      <name val="Calibri"/>
      <family val="2"/>
      <charset val="1"/>
    </font>
    <font>
      <sz val="8"/>
      <name val="Calibri"/>
      <family val="2"/>
      <charset val="1"/>
    </font>
    <font>
      <vertAlign val="superscript"/>
      <sz val="11"/>
      <color rgb="FF000000"/>
      <name val="Arial"/>
      <family val="2"/>
    </font>
    <font>
      <sz val="11"/>
      <color indexed="8"/>
      <name val="Arial"/>
      <family val="2"/>
      <charset val="1"/>
    </font>
    <font>
      <sz val="11"/>
      <color rgb="FF1A1718"/>
      <name val="Arial"/>
      <family val="2"/>
    </font>
    <font>
      <sz val="9"/>
      <name val="FangSong"/>
      <family val="3"/>
      <charset val="134"/>
    </font>
  </fonts>
  <fills count="2">
    <fill>
      <patternFill patternType="none"/>
    </fill>
    <fill>
      <patternFill patternType="gray125"/>
    </fill>
  </fills>
  <borders count="2">
    <border>
      <left/>
      <right/>
      <top/>
      <bottom/>
      <diagonal/>
    </border>
    <border>
      <left/>
      <right/>
      <top/>
      <bottom style="thin">
        <color auto="1"/>
      </bottom>
      <diagonal/>
    </border>
  </borders>
  <cellStyleXfs count="80">
    <xf numFmtId="0" fontId="0" fillId="0" borderId="0"/>
    <xf numFmtId="0" fontId="1"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cellStyleXfs>
  <cellXfs count="95">
    <xf numFmtId="0" fontId="0" fillId="0" borderId="0" xfId="0"/>
    <xf numFmtId="0" fontId="2" fillId="0" borderId="0" xfId="1" applyFont="1" applyAlignment="1">
      <alignment horizontal="left"/>
    </xf>
    <xf numFmtId="1" fontId="2" fillId="0" borderId="0" xfId="1" applyNumberFormat="1" applyFont="1" applyAlignment="1">
      <alignment horizontal="left"/>
    </xf>
    <xf numFmtId="0" fontId="2" fillId="0" borderId="0" xfId="1" applyFont="1"/>
    <xf numFmtId="0" fontId="4" fillId="0" borderId="0" xfId="1" applyFont="1" applyAlignment="1">
      <alignment horizontal="left"/>
    </xf>
    <xf numFmtId="0" fontId="2" fillId="0" borderId="0" xfId="1" applyFont="1" applyAlignment="1">
      <alignment vertical="center"/>
    </xf>
    <xf numFmtId="0" fontId="6" fillId="0" borderId="0" xfId="1" applyFont="1" applyAlignment="1">
      <alignment horizontal="left"/>
    </xf>
    <xf numFmtId="0" fontId="5" fillId="0" borderId="0" xfId="1" applyFont="1" applyAlignment="1">
      <alignment horizontal="left" wrapText="1"/>
    </xf>
    <xf numFmtId="1" fontId="5" fillId="0" borderId="0" xfId="1" applyNumberFormat="1" applyFont="1" applyAlignment="1">
      <alignment horizontal="left" wrapText="1"/>
    </xf>
    <xf numFmtId="2" fontId="2" fillId="0" borderId="0" xfId="1" applyNumberFormat="1" applyFont="1" applyAlignment="1">
      <alignment horizontal="left"/>
    </xf>
    <xf numFmtId="1" fontId="2" fillId="0" borderId="0" xfId="0" applyNumberFormat="1" applyFont="1" applyAlignment="1">
      <alignment horizontal="left"/>
    </xf>
    <xf numFmtId="0" fontId="5" fillId="0" borderId="0" xfId="1" applyFont="1" applyAlignment="1">
      <alignment horizontal="left"/>
    </xf>
    <xf numFmtId="2" fontId="5" fillId="0" borderId="0" xfId="1" applyNumberFormat="1" applyFont="1" applyAlignment="1">
      <alignment horizontal="left"/>
    </xf>
    <xf numFmtId="0" fontId="2" fillId="0" borderId="0" xfId="1" applyFont="1" applyAlignment="1">
      <alignment horizontal="center"/>
    </xf>
    <xf numFmtId="0" fontId="7" fillId="0" borderId="0" xfId="1" applyFont="1"/>
    <xf numFmtId="0" fontId="8" fillId="0" borderId="0" xfId="1" applyFont="1"/>
    <xf numFmtId="0" fontId="8" fillId="0" borderId="0" xfId="1" applyFont="1" applyAlignment="1">
      <alignment horizontal="center"/>
    </xf>
    <xf numFmtId="0" fontId="2" fillId="0" borderId="1" xfId="1" applyFont="1" applyBorder="1" applyAlignment="1">
      <alignment horizontal="left"/>
    </xf>
    <xf numFmtId="2" fontId="2" fillId="0" borderId="1" xfId="1" applyNumberFormat="1" applyFont="1" applyBorder="1" applyAlignment="1">
      <alignment horizontal="left"/>
    </xf>
    <xf numFmtId="1" fontId="2" fillId="0" borderId="1" xfId="0" applyNumberFormat="1" applyFont="1" applyBorder="1" applyAlignment="1">
      <alignment horizontal="left"/>
    </xf>
    <xf numFmtId="0" fontId="5" fillId="0" borderId="1" xfId="1" applyFont="1" applyBorder="1" applyAlignment="1">
      <alignment horizontal="left" wrapText="1"/>
    </xf>
    <xf numFmtId="1" fontId="5" fillId="0" borderId="1" xfId="1" applyNumberFormat="1" applyFont="1" applyBorder="1" applyAlignment="1">
      <alignment horizontal="left" wrapText="1"/>
    </xf>
    <xf numFmtId="0" fontId="3" fillId="0" borderId="1" xfId="1" applyFont="1" applyBorder="1" applyAlignment="1">
      <alignment horizontal="left"/>
    </xf>
    <xf numFmtId="0" fontId="2" fillId="0" borderId="1" xfId="1" applyFont="1" applyBorder="1"/>
    <xf numFmtId="0" fontId="2" fillId="0" borderId="1" xfId="1" applyFont="1" applyBorder="1" applyAlignment="1">
      <alignment horizontal="center"/>
    </xf>
    <xf numFmtId="0" fontId="5" fillId="0" borderId="1" xfId="1" applyFont="1" applyBorder="1" applyAlignment="1">
      <alignment horizontal="center" wrapText="1"/>
    </xf>
    <xf numFmtId="0" fontId="11" fillId="0" borderId="0" xfId="1" applyFont="1" applyAlignment="1">
      <alignment horizontal="left"/>
    </xf>
    <xf numFmtId="0" fontId="0" fillId="0" borderId="0" xfId="1" applyFont="1" applyAlignment="1">
      <alignment horizontal="left"/>
    </xf>
    <xf numFmtId="0" fontId="12" fillId="0" borderId="0" xfId="1" applyFont="1" applyAlignment="1">
      <alignment horizontal="left"/>
    </xf>
    <xf numFmtId="0" fontId="14" fillId="0" borderId="0" xfId="1" applyFont="1" applyAlignment="1">
      <alignment horizontal="left"/>
    </xf>
    <xf numFmtId="0" fontId="13" fillId="0" borderId="0" xfId="1" applyFont="1" applyAlignment="1">
      <alignment horizontal="left"/>
    </xf>
    <xf numFmtId="0" fontId="12" fillId="0" borderId="1" xfId="1" applyFont="1" applyBorder="1" applyAlignment="1">
      <alignment horizontal="left"/>
    </xf>
    <xf numFmtId="0" fontId="15" fillId="0" borderId="0" xfId="1" applyFont="1" applyAlignment="1">
      <alignment horizontal="left"/>
    </xf>
    <xf numFmtId="1" fontId="13" fillId="0" borderId="0" xfId="1" applyNumberFormat="1" applyFont="1" applyAlignment="1">
      <alignment horizontal="left"/>
    </xf>
    <xf numFmtId="0" fontId="13" fillId="0" borderId="0" xfId="1" applyFont="1" applyAlignment="1">
      <alignment horizontal="left" wrapText="1"/>
    </xf>
    <xf numFmtId="0" fontId="0" fillId="0" borderId="0" xfId="0" applyAlignment="1">
      <alignment horizontal="left"/>
    </xf>
    <xf numFmtId="0" fontId="13" fillId="0" borderId="0" xfId="0" applyFont="1" applyAlignment="1">
      <alignment horizontal="left"/>
    </xf>
    <xf numFmtId="1" fontId="5" fillId="0" borderId="0" xfId="1" applyNumberFormat="1" applyFont="1" applyAlignment="1">
      <alignment horizontal="left"/>
    </xf>
    <xf numFmtId="2" fontId="13" fillId="0" borderId="0" xfId="1" applyNumberFormat="1" applyFont="1" applyAlignment="1">
      <alignment horizontal="left"/>
    </xf>
    <xf numFmtId="2" fontId="13" fillId="0" borderId="0" xfId="0" applyNumberFormat="1" applyFont="1" applyAlignment="1">
      <alignment horizontal="left"/>
    </xf>
    <xf numFmtId="2" fontId="13" fillId="0" borderId="0" xfId="1" applyNumberFormat="1" applyFont="1" applyAlignment="1">
      <alignment horizontal="left" wrapText="1"/>
    </xf>
    <xf numFmtId="2" fontId="15" fillId="0" borderId="0" xfId="1" applyNumberFormat="1" applyFont="1" applyAlignment="1">
      <alignment horizontal="left"/>
    </xf>
    <xf numFmtId="2" fontId="14" fillId="0" borderId="0" xfId="1" applyNumberFormat="1" applyFont="1" applyAlignment="1">
      <alignment horizontal="left"/>
    </xf>
    <xf numFmtId="2" fontId="11" fillId="0" borderId="0" xfId="0" applyNumberFormat="1" applyFont="1" applyAlignment="1">
      <alignment horizontal="left"/>
    </xf>
    <xf numFmtId="0" fontId="16" fillId="0" borderId="0" xfId="0" applyFont="1" applyAlignment="1">
      <alignment horizontal="left"/>
    </xf>
    <xf numFmtId="0" fontId="2" fillId="0" borderId="0" xfId="0" applyFont="1" applyAlignment="1">
      <alignment horizontal="left"/>
    </xf>
    <xf numFmtId="0" fontId="14" fillId="0" borderId="0" xfId="1" applyFont="1" applyAlignment="1">
      <alignment horizontal="left" wrapText="1"/>
    </xf>
    <xf numFmtId="0" fontId="15" fillId="0" borderId="0" xfId="1" applyFont="1" applyAlignment="1">
      <alignment horizontal="left" wrapText="1"/>
    </xf>
    <xf numFmtId="0" fontId="13" fillId="0" borderId="0" xfId="0" applyFont="1" applyAlignment="1">
      <alignment horizontal="left" wrapText="1"/>
    </xf>
    <xf numFmtId="0" fontId="2" fillId="0" borderId="0" xfId="1" applyFont="1" applyAlignment="1">
      <alignment horizontal="left" wrapText="1"/>
    </xf>
    <xf numFmtId="0" fontId="13" fillId="0" borderId="1" xfId="1" applyFont="1" applyBorder="1" applyAlignment="1">
      <alignment horizontal="left"/>
    </xf>
    <xf numFmtId="2" fontId="13" fillId="0" borderId="1" xfId="1" applyNumberFormat="1" applyFont="1" applyBorder="1" applyAlignment="1">
      <alignment horizontal="left"/>
    </xf>
    <xf numFmtId="0" fontId="13" fillId="0" borderId="1" xfId="1" applyFont="1" applyBorder="1" applyAlignment="1">
      <alignment horizontal="left" wrapText="1"/>
    </xf>
    <xf numFmtId="0" fontId="12" fillId="0" borderId="0" xfId="1" applyFont="1" applyAlignment="1">
      <alignment horizontal="left" wrapText="1"/>
    </xf>
    <xf numFmtId="0" fontId="12" fillId="0" borderId="1" xfId="1" applyFont="1" applyBorder="1" applyAlignment="1">
      <alignment horizontal="left" wrapText="1"/>
    </xf>
    <xf numFmtId="1" fontId="13" fillId="0" borderId="0" xfId="1" applyNumberFormat="1" applyFont="1" applyAlignment="1">
      <alignment horizontal="left" wrapText="1"/>
    </xf>
    <xf numFmtId="1" fontId="2" fillId="0" borderId="0" xfId="1" applyNumberFormat="1" applyFont="1" applyAlignment="1">
      <alignment horizontal="left" wrapText="1"/>
    </xf>
    <xf numFmtId="0" fontId="2" fillId="0" borderId="0" xfId="0" applyFont="1" applyAlignment="1">
      <alignment horizontal="left" wrapText="1"/>
    </xf>
    <xf numFmtId="0" fontId="11" fillId="0" borderId="0" xfId="1" applyFont="1" applyAlignment="1">
      <alignment horizontal="left" wrapText="1"/>
    </xf>
    <xf numFmtId="0" fontId="2" fillId="0" borderId="0" xfId="1" applyFont="1" applyAlignment="1">
      <alignment wrapText="1"/>
    </xf>
    <xf numFmtId="0" fontId="8" fillId="0" borderId="0" xfId="1" applyFont="1" applyAlignment="1">
      <alignment wrapText="1"/>
    </xf>
    <xf numFmtId="0" fontId="2" fillId="0" borderId="1" xfId="1" applyFont="1" applyBorder="1" applyAlignment="1">
      <alignment wrapText="1"/>
    </xf>
    <xf numFmtId="0" fontId="2" fillId="0" borderId="1" xfId="1" applyFont="1" applyBorder="1" applyAlignment="1">
      <alignment horizontal="left" wrapText="1"/>
    </xf>
    <xf numFmtId="0" fontId="17" fillId="0" borderId="0" xfId="1" applyFont="1" applyAlignment="1">
      <alignment horizontal="left"/>
    </xf>
    <xf numFmtId="0" fontId="18" fillId="0" borderId="0" xfId="1" applyFont="1" applyAlignment="1">
      <alignment horizontal="left"/>
    </xf>
    <xf numFmtId="1" fontId="18" fillId="0" borderId="0" xfId="1" applyNumberFormat="1" applyFont="1" applyAlignment="1">
      <alignment horizontal="left"/>
    </xf>
    <xf numFmtId="0" fontId="18" fillId="0" borderId="0" xfId="1" applyFont="1" applyAlignment="1">
      <alignment horizontal="left" wrapText="1"/>
    </xf>
    <xf numFmtId="0" fontId="19" fillId="0" borderId="0" xfId="0" applyFont="1"/>
    <xf numFmtId="0" fontId="17" fillId="0" borderId="0" xfId="1" applyFont="1" applyAlignment="1">
      <alignment horizontal="left" wrapText="1"/>
    </xf>
    <xf numFmtId="0" fontId="18" fillId="0" borderId="0" xfId="0" applyFont="1" applyAlignment="1">
      <alignment horizontal="left"/>
    </xf>
    <xf numFmtId="0" fontId="19" fillId="0" borderId="0" xfId="0" applyFont="1" applyAlignment="1">
      <alignment horizontal="left"/>
    </xf>
    <xf numFmtId="0" fontId="18" fillId="0" borderId="0" xfId="1" applyFont="1" applyAlignment="1">
      <alignment horizontal="center"/>
    </xf>
    <xf numFmtId="0" fontId="11" fillId="0" borderId="0" xfId="34" applyFont="1" applyFill="1" applyAlignment="1">
      <alignment wrapText="1"/>
    </xf>
    <xf numFmtId="0" fontId="13" fillId="0" borderId="0" xfId="0" applyFont="1" applyAlignment="1">
      <alignment wrapText="1"/>
    </xf>
    <xf numFmtId="0" fontId="11" fillId="0" borderId="0" xfId="34" applyFont="1" applyAlignment="1">
      <alignment wrapText="1"/>
    </xf>
    <xf numFmtId="176" fontId="18" fillId="0" borderId="0" xfId="1" applyNumberFormat="1" applyFont="1" applyAlignment="1">
      <alignment horizontal="left"/>
    </xf>
    <xf numFmtId="176" fontId="2" fillId="0" borderId="0" xfId="1" applyNumberFormat="1" applyFont="1" applyAlignment="1">
      <alignment horizontal="left"/>
    </xf>
    <xf numFmtId="176" fontId="5" fillId="0" borderId="1" xfId="1" applyNumberFormat="1" applyFont="1" applyBorder="1" applyAlignment="1">
      <alignment horizontal="left" wrapText="1"/>
    </xf>
    <xf numFmtId="176" fontId="5" fillId="0" borderId="0" xfId="1" applyNumberFormat="1" applyFont="1" applyAlignment="1">
      <alignment horizontal="left" wrapText="1"/>
    </xf>
    <xf numFmtId="176" fontId="2" fillId="0" borderId="0" xfId="0" applyNumberFormat="1" applyFont="1" applyAlignment="1">
      <alignment horizontal="left"/>
    </xf>
    <xf numFmtId="176" fontId="0" fillId="0" borderId="0" xfId="0" applyNumberFormat="1" applyAlignment="1">
      <alignment horizontal="left"/>
    </xf>
    <xf numFmtId="176" fontId="2" fillId="0" borderId="1" xfId="0" applyNumberFormat="1" applyFont="1" applyBorder="1" applyAlignment="1">
      <alignment horizontal="left"/>
    </xf>
    <xf numFmtId="0" fontId="22" fillId="0" borderId="0" xfId="1" applyFont="1" applyAlignment="1">
      <alignment horizontal="left"/>
    </xf>
    <xf numFmtId="0" fontId="22" fillId="0" borderId="1" xfId="1" applyFont="1" applyBorder="1" applyAlignment="1">
      <alignment horizontal="left"/>
    </xf>
    <xf numFmtId="1" fontId="2" fillId="0" borderId="1" xfId="1" applyNumberFormat="1" applyFont="1" applyBorder="1" applyAlignment="1">
      <alignment horizontal="left"/>
    </xf>
    <xf numFmtId="0" fontId="2" fillId="0" borderId="0" xfId="0" applyFont="1"/>
    <xf numFmtId="0" fontId="11" fillId="0" borderId="0" xfId="1" applyFont="1"/>
    <xf numFmtId="0" fontId="11" fillId="0" borderId="0" xfId="1" applyFont="1" applyAlignment="1">
      <alignment wrapText="1"/>
    </xf>
    <xf numFmtId="0" fontId="11" fillId="0" borderId="0" xfId="1" applyFont="1" applyAlignment="1">
      <alignment horizontal="center"/>
    </xf>
    <xf numFmtId="0" fontId="11" fillId="0" borderId="0" xfId="0" applyFont="1" applyAlignment="1">
      <alignment horizontal="left" wrapText="1"/>
    </xf>
    <xf numFmtId="0" fontId="2" fillId="0" borderId="0" xfId="0" applyFont="1" applyAlignment="1">
      <alignment wrapText="1"/>
    </xf>
    <xf numFmtId="0" fontId="2" fillId="0" borderId="0" xfId="0" applyFont="1" applyAlignment="1">
      <alignment vertical="center"/>
    </xf>
    <xf numFmtId="0" fontId="3" fillId="0" borderId="0" xfId="0" applyFont="1"/>
    <xf numFmtId="0" fontId="2" fillId="0" borderId="1" xfId="0" applyFont="1" applyBorder="1"/>
    <xf numFmtId="176" fontId="2" fillId="0" borderId="1" xfId="1" applyNumberFormat="1" applyFont="1" applyBorder="1" applyAlignment="1">
      <alignment horizontal="left"/>
    </xf>
  </cellXfs>
  <cellStyles count="80">
    <cellStyle name="TableStyleLight1" xfId="1" xr:uid="{00000000-0005-0000-0000-00004F000000}"/>
    <cellStyle name="常规" xfId="0" builtinId="0"/>
    <cellStyle name="超链接" xfId="2" builtinId="8" hidden="1"/>
    <cellStyle name="超链接" xfId="4" builtinId="8" hidden="1"/>
    <cellStyle name="超链接" xfId="6" builtinId="8" hidden="1"/>
    <cellStyle name="超链接" xfId="8" builtinId="8" hidden="1"/>
    <cellStyle name="超链接" xfId="10" builtinId="8" hidden="1"/>
    <cellStyle name="超链接" xfId="12" builtinId="8" hidden="1"/>
    <cellStyle name="超链接" xfId="14" builtinId="8" hidden="1"/>
    <cellStyle name="超链接" xfId="16" builtinId="8" hidden="1"/>
    <cellStyle name="超链接" xfId="18" builtinId="8" hidden="1"/>
    <cellStyle name="超链接" xfId="20" builtinId="8" hidden="1"/>
    <cellStyle name="超链接" xfId="22" builtinId="8" hidden="1"/>
    <cellStyle name="超链接" xfId="24" builtinId="8" hidden="1"/>
    <cellStyle name="超链接" xfId="26" builtinId="8" hidden="1"/>
    <cellStyle name="超链接" xfId="28" builtinId="8" hidden="1"/>
    <cellStyle name="超链接" xfId="30" builtinId="8" hidden="1"/>
    <cellStyle name="超链接" xfId="32" builtinId="8" hidden="1"/>
    <cellStyle name="超链接" xfId="34" builtinId="8"/>
    <cellStyle name="已访问的超链接" xfId="3" builtinId="9" hidden="1"/>
    <cellStyle name="已访问的超链接" xfId="5" builtinId="9" hidden="1"/>
    <cellStyle name="已访问的超链接" xfId="7" builtinId="9" hidden="1"/>
    <cellStyle name="已访问的超链接" xfId="9" builtinId="9" hidden="1"/>
    <cellStyle name="已访问的超链接" xfId="11" builtinId="9" hidden="1"/>
    <cellStyle name="已访问的超链接" xfId="13" builtinId="9" hidden="1"/>
    <cellStyle name="已访问的超链接" xfId="15" builtinId="9" hidden="1"/>
    <cellStyle name="已访问的超链接" xfId="17" builtinId="9" hidden="1"/>
    <cellStyle name="已访问的超链接" xfId="19" builtinId="9" hidden="1"/>
    <cellStyle name="已访问的超链接" xfId="21" builtinId="9" hidden="1"/>
    <cellStyle name="已访问的超链接" xfId="23" builtinId="9" hidden="1"/>
    <cellStyle name="已访问的超链接" xfId="25" builtinId="9" hidden="1"/>
    <cellStyle name="已访问的超链接" xfId="27" builtinId="9" hidden="1"/>
    <cellStyle name="已访问的超链接" xfId="29" builtinId="9" hidden="1"/>
    <cellStyle name="已访问的超链接" xfId="31" builtinId="9" hidden="1"/>
    <cellStyle name="已访问的超链接" xfId="33" builtinId="9" hidden="1"/>
    <cellStyle name="已访问的超链接" xfId="35" builtinId="9" hidden="1"/>
    <cellStyle name="已访问的超链接" xfId="36" builtinId="9" hidden="1"/>
    <cellStyle name="已访问的超链接" xfId="37" builtinId="9" hidden="1"/>
    <cellStyle name="已访问的超链接" xfId="38" builtinId="9" hidden="1"/>
    <cellStyle name="已访问的超链接" xfId="39" builtinId="9" hidden="1"/>
    <cellStyle name="已访问的超链接" xfId="40" builtinId="9" hidden="1"/>
    <cellStyle name="已访问的超链接" xfId="41" builtinId="9" hidden="1"/>
    <cellStyle name="已访问的超链接" xfId="42" builtinId="9" hidden="1"/>
    <cellStyle name="已访问的超链接" xfId="43" builtinId="9" hidden="1"/>
    <cellStyle name="已访问的超链接" xfId="44" builtinId="9" hidden="1"/>
    <cellStyle name="已访问的超链接" xfId="45" builtinId="9" hidden="1"/>
    <cellStyle name="已访问的超链接" xfId="46" builtinId="9" hidden="1"/>
    <cellStyle name="已访问的超链接" xfId="47" builtinId="9" hidden="1"/>
    <cellStyle name="已访问的超链接" xfId="48" builtinId="9" hidden="1"/>
    <cellStyle name="已访问的超链接" xfId="49" builtinId="9" hidden="1"/>
    <cellStyle name="已访问的超链接" xfId="50" builtinId="9" hidden="1"/>
    <cellStyle name="已访问的超链接" xfId="51" builtinId="9" hidden="1"/>
    <cellStyle name="已访问的超链接" xfId="52" builtinId="9" hidden="1"/>
    <cellStyle name="已访问的超链接" xfId="53" builtinId="9" hidden="1"/>
    <cellStyle name="已访问的超链接" xfId="54" builtinId="9" hidden="1"/>
    <cellStyle name="已访问的超链接" xfId="55" builtinId="9" hidden="1"/>
    <cellStyle name="已访问的超链接" xfId="56" builtinId="9" hidden="1"/>
    <cellStyle name="已访问的超链接" xfId="57" builtinId="9" hidden="1"/>
    <cellStyle name="已访问的超链接" xfId="58" builtinId="9" hidden="1"/>
    <cellStyle name="已访问的超链接" xfId="59" builtinId="9" hidden="1"/>
    <cellStyle name="已访问的超链接" xfId="60" builtinId="9" hidden="1"/>
    <cellStyle name="已访问的超链接" xfId="61" builtinId="9" hidden="1"/>
    <cellStyle name="已访问的超链接" xfId="62" builtinId="9" hidden="1"/>
    <cellStyle name="已访问的超链接" xfId="63" builtinId="9" hidden="1"/>
    <cellStyle name="已访问的超链接" xfId="64" builtinId="9" hidden="1"/>
    <cellStyle name="已访问的超链接" xfId="65" builtinId="9" hidden="1"/>
    <cellStyle name="已访问的超链接" xfId="66" builtinId="9" hidden="1"/>
    <cellStyle name="已访问的超链接" xfId="67" builtinId="9" hidden="1"/>
    <cellStyle name="已访问的超链接" xfId="68" builtinId="9" hidden="1"/>
    <cellStyle name="已访问的超链接" xfId="69" builtinId="9" hidden="1"/>
    <cellStyle name="已访问的超链接" xfId="70" builtinId="9" hidden="1"/>
    <cellStyle name="已访问的超链接" xfId="71" builtinId="9" hidden="1"/>
    <cellStyle name="已访问的超链接" xfId="72" builtinId="9" hidden="1"/>
    <cellStyle name="已访问的超链接" xfId="73" builtinId="9" hidden="1"/>
    <cellStyle name="已访问的超链接" xfId="74" builtinId="9" hidden="1"/>
    <cellStyle name="已访问的超链接" xfId="75" builtinId="9" hidden="1"/>
    <cellStyle name="已访问的超链接" xfId="76" builtinId="9" hidden="1"/>
    <cellStyle name="已访问的超链接" xfId="77" builtinId="9" hidden="1"/>
    <cellStyle name="已访问的超链接" xfId="78" builtinId="9" hidden="1"/>
    <cellStyle name="已访问的超链接" xfId="79"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ftp://ftp.ncdc.noaa.gov/pub/data/paleo/pollen/asciifiles/fossil/ascfiles/gpd/oldcamp.txt" TargetMode="External"/><Relationship Id="rId1" Type="http://schemas.openxmlformats.org/officeDocument/2006/relationships/hyperlink" Target="ftp://ftp.ncdc.noaa.gov/pub/data/paleo/pollen/asciifiles/fossil/ascfiles/epd/imatu.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A197"/>
  <sheetViews>
    <sheetView tabSelected="1" topLeftCell="A132" workbookViewId="0">
      <selection activeCell="A154" sqref="A154"/>
    </sheetView>
  </sheetViews>
  <sheetFormatPr baseColWidth="10" defaultColWidth="11" defaultRowHeight="16" x14ac:dyDescent="0.2"/>
  <cols>
    <col min="1" max="1" width="17.1640625" style="1" customWidth="1"/>
    <col min="2" max="2" width="26.6640625" style="1" bestFit="1" customWidth="1"/>
    <col min="3" max="3" width="20.6640625" style="1" bestFit="1" customWidth="1"/>
    <col min="4" max="4" width="7" style="1" customWidth="1"/>
    <col min="5" max="5" width="8.83203125" style="1" customWidth="1"/>
    <col min="6" max="6" width="8.33203125" style="2" bestFit="1" customWidth="1"/>
    <col min="7" max="7" width="10.6640625" style="1" bestFit="1" customWidth="1"/>
    <col min="8" max="8" width="25.5" style="49" customWidth="1"/>
    <col min="9" max="9" width="11" style="2" bestFit="1" customWidth="1"/>
    <col min="10" max="10" width="9.83203125" style="2" bestFit="1" customWidth="1"/>
    <col min="11" max="11" width="11.33203125" style="2" bestFit="1" customWidth="1"/>
    <col min="12" max="12" width="8.33203125" style="2" bestFit="1" customWidth="1"/>
    <col min="13" max="13" width="7.33203125" style="76" bestFit="1" customWidth="1"/>
    <col min="14" max="14" width="48.1640625" style="49" customWidth="1"/>
  </cols>
  <sheetData>
    <row r="1" spans="1:16381" s="67" customFormat="1" ht="20" customHeight="1" x14ac:dyDescent="0.25">
      <c r="A1" s="63" t="s">
        <v>1765</v>
      </c>
      <c r="B1" s="64"/>
      <c r="C1" s="64"/>
      <c r="D1" s="64"/>
      <c r="E1" s="64"/>
      <c r="F1" s="65"/>
      <c r="G1" s="64"/>
      <c r="H1" s="66"/>
      <c r="I1" s="65"/>
      <c r="J1" s="65"/>
      <c r="K1" s="65"/>
      <c r="L1" s="65"/>
      <c r="M1" s="75"/>
      <c r="N1" s="66"/>
    </row>
    <row r="2" spans="1:16381" ht="13" customHeight="1" x14ac:dyDescent="0.2"/>
    <row r="3" spans="1:16381" ht="13" customHeight="1" x14ac:dyDescent="0.2">
      <c r="A3" s="4" t="s">
        <v>0</v>
      </c>
    </row>
    <row r="4" spans="1:16381" ht="13" customHeight="1" x14ac:dyDescent="0.2">
      <c r="A4" s="1" t="s">
        <v>1269</v>
      </c>
      <c r="F4" s="1"/>
      <c r="H4" s="1"/>
      <c r="I4" s="1"/>
      <c r="J4" s="1"/>
      <c r="K4" s="1"/>
      <c r="L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c r="ENA4" s="1"/>
      <c r="ENB4" s="1"/>
      <c r="ENC4" s="1"/>
      <c r="END4" s="1"/>
      <c r="ENE4" s="1"/>
      <c r="ENF4" s="1"/>
      <c r="ENG4" s="1"/>
      <c r="ENH4" s="1"/>
      <c r="ENI4" s="1"/>
      <c r="ENJ4" s="1"/>
      <c r="ENK4" s="1"/>
      <c r="ENL4" s="1"/>
      <c r="ENM4" s="1"/>
      <c r="ENN4" s="1"/>
      <c r="ENO4" s="1"/>
      <c r="ENP4" s="1"/>
      <c r="ENQ4" s="1"/>
      <c r="ENR4" s="1"/>
      <c r="ENS4" s="1"/>
      <c r="ENT4" s="1"/>
      <c r="ENU4" s="1"/>
      <c r="ENV4" s="1"/>
      <c r="ENW4" s="1"/>
      <c r="ENX4" s="1"/>
      <c r="ENY4" s="1"/>
      <c r="ENZ4" s="1"/>
      <c r="EOA4" s="1"/>
      <c r="EOB4" s="1"/>
      <c r="EOC4" s="1"/>
      <c r="EOD4" s="1"/>
      <c r="EOE4" s="1"/>
      <c r="EOF4" s="1"/>
      <c r="EOG4" s="1"/>
      <c r="EOH4" s="1"/>
      <c r="EOI4" s="1"/>
      <c r="EOJ4" s="1"/>
      <c r="EOK4" s="1"/>
      <c r="EOL4" s="1"/>
      <c r="EOM4" s="1"/>
      <c r="EON4" s="1"/>
      <c r="EOO4" s="1"/>
      <c r="EOP4" s="1"/>
      <c r="EOQ4" s="1"/>
      <c r="EOR4" s="1"/>
      <c r="EOS4" s="1"/>
      <c r="EOT4" s="1"/>
      <c r="EOU4" s="1"/>
      <c r="EOV4" s="1"/>
      <c r="EOW4" s="1"/>
      <c r="EOX4" s="1"/>
      <c r="EOY4" s="1"/>
      <c r="EOZ4" s="1"/>
      <c r="EPA4" s="1"/>
      <c r="EPB4" s="1"/>
      <c r="EPC4" s="1"/>
      <c r="EPD4" s="1"/>
      <c r="EPE4" s="1"/>
      <c r="EPF4" s="1"/>
      <c r="EPG4" s="1"/>
      <c r="EPH4" s="1"/>
      <c r="EPI4" s="1"/>
      <c r="EPJ4" s="1"/>
      <c r="EPK4" s="1"/>
      <c r="EPL4" s="1"/>
      <c r="EPM4" s="1"/>
      <c r="EPN4" s="1"/>
      <c r="EPO4" s="1"/>
      <c r="EPP4" s="1"/>
      <c r="EPQ4" s="1"/>
      <c r="EPR4" s="1"/>
      <c r="EPS4" s="1"/>
      <c r="EPT4" s="1"/>
      <c r="EPU4" s="1"/>
      <c r="EPV4" s="1"/>
      <c r="EPW4" s="1"/>
      <c r="EPX4" s="1"/>
      <c r="EPY4" s="1"/>
      <c r="EPZ4" s="1"/>
      <c r="EQA4" s="1"/>
      <c r="EQB4" s="1"/>
      <c r="EQC4" s="1"/>
      <c r="EQD4" s="1"/>
      <c r="EQE4" s="1"/>
      <c r="EQF4" s="1"/>
      <c r="EQG4" s="1"/>
      <c r="EQH4" s="1"/>
      <c r="EQI4" s="1"/>
      <c r="EQJ4" s="1"/>
      <c r="EQK4" s="1"/>
      <c r="EQL4" s="1"/>
      <c r="EQM4" s="1"/>
      <c r="EQN4" s="1"/>
      <c r="EQO4" s="1"/>
      <c r="EQP4" s="1"/>
      <c r="EQQ4" s="1"/>
      <c r="EQR4" s="1"/>
      <c r="EQS4" s="1"/>
      <c r="EQT4" s="1"/>
      <c r="EQU4" s="1"/>
      <c r="EQV4" s="1"/>
      <c r="EQW4" s="1"/>
      <c r="EQX4" s="1"/>
      <c r="EQY4" s="1"/>
      <c r="EQZ4" s="1"/>
      <c r="ERA4" s="1"/>
      <c r="ERB4" s="1"/>
      <c r="ERC4" s="1"/>
      <c r="ERD4" s="1"/>
      <c r="ERE4" s="1"/>
      <c r="ERF4" s="1"/>
      <c r="ERG4" s="1"/>
      <c r="ERH4" s="1"/>
      <c r="ERI4" s="1"/>
      <c r="ERJ4" s="1"/>
      <c r="ERK4" s="1"/>
      <c r="ERL4" s="1"/>
      <c r="ERM4" s="1"/>
      <c r="ERN4" s="1"/>
      <c r="ERO4" s="1"/>
      <c r="ERP4" s="1"/>
      <c r="ERQ4" s="1"/>
      <c r="ERR4" s="1"/>
      <c r="ERS4" s="1"/>
      <c r="ERT4" s="1"/>
      <c r="ERU4" s="1"/>
      <c r="ERV4" s="1"/>
      <c r="ERW4" s="1"/>
      <c r="ERX4" s="1"/>
      <c r="ERY4" s="1"/>
      <c r="ERZ4" s="1"/>
      <c r="ESA4" s="1"/>
      <c r="ESB4" s="1"/>
      <c r="ESC4" s="1"/>
      <c r="ESD4" s="1"/>
      <c r="ESE4" s="1"/>
      <c r="ESF4" s="1"/>
      <c r="ESG4" s="1"/>
      <c r="ESH4" s="1"/>
      <c r="ESI4" s="1"/>
      <c r="ESJ4" s="1"/>
      <c r="ESK4" s="1"/>
      <c r="ESL4" s="1"/>
      <c r="ESM4" s="1"/>
      <c r="ESN4" s="1"/>
      <c r="ESO4" s="1"/>
      <c r="ESP4" s="1"/>
      <c r="ESQ4" s="1"/>
      <c r="ESR4" s="1"/>
      <c r="ESS4" s="1"/>
      <c r="EST4" s="1"/>
      <c r="ESU4" s="1"/>
      <c r="ESV4" s="1"/>
      <c r="ESW4" s="1"/>
      <c r="ESX4" s="1"/>
      <c r="ESY4" s="1"/>
      <c r="ESZ4" s="1"/>
      <c r="ETA4" s="1"/>
      <c r="ETB4" s="1"/>
      <c r="ETC4" s="1"/>
      <c r="ETD4" s="1"/>
      <c r="ETE4" s="1"/>
      <c r="ETF4" s="1"/>
      <c r="ETG4" s="1"/>
      <c r="ETH4" s="1"/>
      <c r="ETI4" s="1"/>
      <c r="ETJ4" s="1"/>
      <c r="ETK4" s="1"/>
      <c r="ETL4" s="1"/>
      <c r="ETM4" s="1"/>
      <c r="ETN4" s="1"/>
      <c r="ETO4" s="1"/>
      <c r="ETP4" s="1"/>
      <c r="ETQ4" s="1"/>
      <c r="ETR4" s="1"/>
      <c r="ETS4" s="1"/>
      <c r="ETT4" s="1"/>
      <c r="ETU4" s="1"/>
      <c r="ETV4" s="1"/>
      <c r="ETW4" s="1"/>
      <c r="ETX4" s="1"/>
      <c r="ETY4" s="1"/>
      <c r="ETZ4" s="1"/>
      <c r="EUA4" s="1"/>
      <c r="EUB4" s="1"/>
      <c r="EUC4" s="1"/>
      <c r="EUD4" s="1"/>
      <c r="EUE4" s="1"/>
      <c r="EUF4" s="1"/>
      <c r="EUG4" s="1"/>
      <c r="EUH4" s="1"/>
      <c r="EUI4" s="1"/>
      <c r="EUJ4" s="1"/>
      <c r="EUK4" s="1"/>
      <c r="EUL4" s="1"/>
      <c r="EUM4" s="1"/>
      <c r="EUN4" s="1"/>
      <c r="EUO4" s="1"/>
      <c r="EUP4" s="1"/>
      <c r="EUQ4" s="1"/>
      <c r="EUR4" s="1"/>
      <c r="EUS4" s="1"/>
      <c r="EUT4" s="1"/>
      <c r="EUU4" s="1"/>
      <c r="EUV4" s="1"/>
      <c r="EUW4" s="1"/>
      <c r="EUX4" s="1"/>
      <c r="EUY4" s="1"/>
      <c r="EUZ4" s="1"/>
      <c r="EVA4" s="1"/>
      <c r="EVB4" s="1"/>
      <c r="EVC4" s="1"/>
      <c r="EVD4" s="1"/>
      <c r="EVE4" s="1"/>
      <c r="EVF4" s="1"/>
      <c r="EVG4" s="1"/>
      <c r="EVH4" s="1"/>
      <c r="EVI4" s="1"/>
      <c r="EVJ4" s="1"/>
      <c r="EVK4" s="1"/>
      <c r="EVL4" s="1"/>
      <c r="EVM4" s="1"/>
      <c r="EVN4" s="1"/>
      <c r="EVO4" s="1"/>
      <c r="EVP4" s="1"/>
      <c r="EVQ4" s="1"/>
      <c r="EVR4" s="1"/>
      <c r="EVS4" s="1"/>
      <c r="EVT4" s="1"/>
      <c r="EVU4" s="1"/>
      <c r="EVV4" s="1"/>
      <c r="EVW4" s="1"/>
      <c r="EVX4" s="1"/>
      <c r="EVY4" s="1"/>
      <c r="EVZ4" s="1"/>
      <c r="EWA4" s="1"/>
      <c r="EWB4" s="1"/>
      <c r="EWC4" s="1"/>
      <c r="EWD4" s="1"/>
      <c r="EWE4" s="1"/>
      <c r="EWF4" s="1"/>
      <c r="EWG4" s="1"/>
      <c r="EWH4" s="1"/>
      <c r="EWI4" s="1"/>
      <c r="EWJ4" s="1"/>
      <c r="EWK4" s="1"/>
      <c r="EWL4" s="1"/>
      <c r="EWM4" s="1"/>
      <c r="EWN4" s="1"/>
      <c r="EWO4" s="1"/>
      <c r="EWP4" s="1"/>
      <c r="EWQ4" s="1"/>
      <c r="EWR4" s="1"/>
      <c r="EWS4" s="1"/>
      <c r="EWT4" s="1"/>
      <c r="EWU4" s="1"/>
      <c r="EWV4" s="1"/>
      <c r="EWW4" s="1"/>
      <c r="EWX4" s="1"/>
      <c r="EWY4" s="1"/>
      <c r="EWZ4" s="1"/>
      <c r="EXA4" s="1"/>
      <c r="EXB4" s="1"/>
      <c r="EXC4" s="1"/>
      <c r="EXD4" s="1"/>
      <c r="EXE4" s="1"/>
      <c r="EXF4" s="1"/>
      <c r="EXG4" s="1"/>
      <c r="EXH4" s="1"/>
      <c r="EXI4" s="1"/>
      <c r="EXJ4" s="1"/>
      <c r="EXK4" s="1"/>
      <c r="EXL4" s="1"/>
      <c r="EXM4" s="1"/>
      <c r="EXN4" s="1"/>
      <c r="EXO4" s="1"/>
      <c r="EXP4" s="1"/>
      <c r="EXQ4" s="1"/>
      <c r="EXR4" s="1"/>
      <c r="EXS4" s="1"/>
      <c r="EXT4" s="1"/>
      <c r="EXU4" s="1"/>
      <c r="EXV4" s="1"/>
      <c r="EXW4" s="1"/>
      <c r="EXX4" s="1"/>
      <c r="EXY4" s="1"/>
      <c r="EXZ4" s="1"/>
      <c r="EYA4" s="1"/>
      <c r="EYB4" s="1"/>
      <c r="EYC4" s="1"/>
      <c r="EYD4" s="1"/>
      <c r="EYE4" s="1"/>
      <c r="EYF4" s="1"/>
      <c r="EYG4" s="1"/>
      <c r="EYH4" s="1"/>
      <c r="EYI4" s="1"/>
      <c r="EYJ4" s="1"/>
      <c r="EYK4" s="1"/>
      <c r="EYL4" s="1"/>
      <c r="EYM4" s="1"/>
      <c r="EYN4" s="1"/>
      <c r="EYO4" s="1"/>
      <c r="EYP4" s="1"/>
      <c r="EYQ4" s="1"/>
      <c r="EYR4" s="1"/>
      <c r="EYS4" s="1"/>
      <c r="EYT4" s="1"/>
      <c r="EYU4" s="1"/>
      <c r="EYV4" s="1"/>
      <c r="EYW4" s="1"/>
      <c r="EYX4" s="1"/>
      <c r="EYY4" s="1"/>
      <c r="EYZ4" s="1"/>
      <c r="EZA4" s="1"/>
      <c r="EZB4" s="1"/>
      <c r="EZC4" s="1"/>
      <c r="EZD4" s="1"/>
      <c r="EZE4" s="1"/>
      <c r="EZF4" s="1"/>
      <c r="EZG4" s="1"/>
      <c r="EZH4" s="1"/>
      <c r="EZI4" s="1"/>
      <c r="EZJ4" s="1"/>
      <c r="EZK4" s="1"/>
      <c r="EZL4" s="1"/>
      <c r="EZM4" s="1"/>
      <c r="EZN4" s="1"/>
      <c r="EZO4" s="1"/>
      <c r="EZP4" s="1"/>
      <c r="EZQ4" s="1"/>
      <c r="EZR4" s="1"/>
      <c r="EZS4" s="1"/>
      <c r="EZT4" s="1"/>
      <c r="EZU4" s="1"/>
      <c r="EZV4" s="1"/>
      <c r="EZW4" s="1"/>
      <c r="EZX4" s="1"/>
      <c r="EZY4" s="1"/>
      <c r="EZZ4" s="1"/>
      <c r="FAA4" s="1"/>
      <c r="FAB4" s="1"/>
      <c r="FAC4" s="1"/>
      <c r="FAD4" s="1"/>
      <c r="FAE4" s="1"/>
      <c r="FAF4" s="1"/>
      <c r="FAG4" s="1"/>
      <c r="FAH4" s="1"/>
      <c r="FAI4" s="1"/>
      <c r="FAJ4" s="1"/>
      <c r="FAK4" s="1"/>
      <c r="FAL4" s="1"/>
      <c r="FAM4" s="1"/>
      <c r="FAN4" s="1"/>
      <c r="FAO4" s="1"/>
      <c r="FAP4" s="1"/>
      <c r="FAQ4" s="1"/>
      <c r="FAR4" s="1"/>
      <c r="FAS4" s="1"/>
      <c r="FAT4" s="1"/>
      <c r="FAU4" s="1"/>
      <c r="FAV4" s="1"/>
      <c r="FAW4" s="1"/>
      <c r="FAX4" s="1"/>
      <c r="FAY4" s="1"/>
      <c r="FAZ4" s="1"/>
      <c r="FBA4" s="1"/>
      <c r="FBB4" s="1"/>
      <c r="FBC4" s="1"/>
      <c r="FBD4" s="1"/>
      <c r="FBE4" s="1"/>
      <c r="FBF4" s="1"/>
      <c r="FBG4" s="1"/>
      <c r="FBH4" s="1"/>
      <c r="FBI4" s="1"/>
      <c r="FBJ4" s="1"/>
      <c r="FBK4" s="1"/>
      <c r="FBL4" s="1"/>
      <c r="FBM4" s="1"/>
      <c r="FBN4" s="1"/>
      <c r="FBO4" s="1"/>
      <c r="FBP4" s="1"/>
      <c r="FBQ4" s="1"/>
      <c r="FBR4" s="1"/>
      <c r="FBS4" s="1"/>
      <c r="FBT4" s="1"/>
      <c r="FBU4" s="1"/>
      <c r="FBV4" s="1"/>
      <c r="FBW4" s="1"/>
      <c r="FBX4" s="1"/>
      <c r="FBY4" s="1"/>
      <c r="FBZ4" s="1"/>
      <c r="FCA4" s="1"/>
      <c r="FCB4" s="1"/>
      <c r="FCC4" s="1"/>
      <c r="FCD4" s="1"/>
      <c r="FCE4" s="1"/>
      <c r="FCF4" s="1"/>
      <c r="FCG4" s="1"/>
      <c r="FCH4" s="1"/>
      <c r="FCI4" s="1"/>
      <c r="FCJ4" s="1"/>
      <c r="FCK4" s="1"/>
      <c r="FCL4" s="1"/>
      <c r="FCM4" s="1"/>
      <c r="FCN4" s="1"/>
      <c r="FCO4" s="1"/>
      <c r="FCP4" s="1"/>
      <c r="FCQ4" s="1"/>
      <c r="FCR4" s="1"/>
      <c r="FCS4" s="1"/>
      <c r="FCT4" s="1"/>
      <c r="FCU4" s="1"/>
      <c r="FCV4" s="1"/>
      <c r="FCW4" s="1"/>
      <c r="FCX4" s="1"/>
      <c r="FCY4" s="1"/>
      <c r="FCZ4" s="1"/>
      <c r="FDA4" s="1"/>
      <c r="FDB4" s="1"/>
      <c r="FDC4" s="1"/>
      <c r="FDD4" s="1"/>
      <c r="FDE4" s="1"/>
      <c r="FDF4" s="1"/>
      <c r="FDG4" s="1"/>
      <c r="FDH4" s="1"/>
      <c r="FDI4" s="1"/>
      <c r="FDJ4" s="1"/>
      <c r="FDK4" s="1"/>
      <c r="FDL4" s="1"/>
      <c r="FDM4" s="1"/>
      <c r="FDN4" s="1"/>
      <c r="FDO4" s="1"/>
      <c r="FDP4" s="1"/>
      <c r="FDQ4" s="1"/>
      <c r="FDR4" s="1"/>
      <c r="FDS4" s="1"/>
      <c r="FDT4" s="1"/>
      <c r="FDU4" s="1"/>
      <c r="FDV4" s="1"/>
      <c r="FDW4" s="1"/>
      <c r="FDX4" s="1"/>
      <c r="FDY4" s="1"/>
      <c r="FDZ4" s="1"/>
      <c r="FEA4" s="1"/>
      <c r="FEB4" s="1"/>
      <c r="FEC4" s="1"/>
      <c r="FED4" s="1"/>
      <c r="FEE4" s="1"/>
      <c r="FEF4" s="1"/>
      <c r="FEG4" s="1"/>
      <c r="FEH4" s="1"/>
      <c r="FEI4" s="1"/>
      <c r="FEJ4" s="1"/>
      <c r="FEK4" s="1"/>
      <c r="FEL4" s="1"/>
      <c r="FEM4" s="1"/>
      <c r="FEN4" s="1"/>
      <c r="FEO4" s="1"/>
      <c r="FEP4" s="1"/>
      <c r="FEQ4" s="1"/>
      <c r="FER4" s="1"/>
      <c r="FES4" s="1"/>
      <c r="FET4" s="1"/>
      <c r="FEU4" s="1"/>
      <c r="FEV4" s="1"/>
      <c r="FEW4" s="1"/>
      <c r="FEX4" s="1"/>
      <c r="FEY4" s="1"/>
      <c r="FEZ4" s="1"/>
      <c r="FFA4" s="1"/>
      <c r="FFB4" s="1"/>
      <c r="FFC4" s="1"/>
      <c r="FFD4" s="1"/>
      <c r="FFE4" s="1"/>
      <c r="FFF4" s="1"/>
      <c r="FFG4" s="1"/>
      <c r="FFH4" s="1"/>
      <c r="FFI4" s="1"/>
      <c r="FFJ4" s="1"/>
      <c r="FFK4" s="1"/>
      <c r="FFL4" s="1"/>
      <c r="FFM4" s="1"/>
      <c r="FFN4" s="1"/>
      <c r="FFO4" s="1"/>
      <c r="FFP4" s="1"/>
      <c r="FFQ4" s="1"/>
      <c r="FFR4" s="1"/>
      <c r="FFS4" s="1"/>
      <c r="FFT4" s="1"/>
      <c r="FFU4" s="1"/>
      <c r="FFV4" s="1"/>
      <c r="FFW4" s="1"/>
      <c r="FFX4" s="1"/>
      <c r="FFY4" s="1"/>
      <c r="FFZ4" s="1"/>
      <c r="FGA4" s="1"/>
      <c r="FGB4" s="1"/>
      <c r="FGC4" s="1"/>
      <c r="FGD4" s="1"/>
      <c r="FGE4" s="1"/>
      <c r="FGF4" s="1"/>
      <c r="FGG4" s="1"/>
      <c r="FGH4" s="1"/>
      <c r="FGI4" s="1"/>
      <c r="FGJ4" s="1"/>
      <c r="FGK4" s="1"/>
      <c r="FGL4" s="1"/>
      <c r="FGM4" s="1"/>
      <c r="FGN4" s="1"/>
      <c r="FGO4" s="1"/>
      <c r="FGP4" s="1"/>
      <c r="FGQ4" s="1"/>
      <c r="FGR4" s="1"/>
      <c r="FGS4" s="1"/>
      <c r="FGT4" s="1"/>
      <c r="FGU4" s="1"/>
      <c r="FGV4" s="1"/>
      <c r="FGW4" s="1"/>
      <c r="FGX4" s="1"/>
      <c r="FGY4" s="1"/>
      <c r="FGZ4" s="1"/>
      <c r="FHA4" s="1"/>
      <c r="FHB4" s="1"/>
      <c r="FHC4" s="1"/>
      <c r="FHD4" s="1"/>
      <c r="FHE4" s="1"/>
      <c r="FHF4" s="1"/>
      <c r="FHG4" s="1"/>
      <c r="FHH4" s="1"/>
      <c r="FHI4" s="1"/>
      <c r="FHJ4" s="1"/>
      <c r="FHK4" s="1"/>
      <c r="FHL4" s="1"/>
      <c r="FHM4" s="1"/>
      <c r="FHN4" s="1"/>
      <c r="FHO4" s="1"/>
      <c r="FHP4" s="1"/>
      <c r="FHQ4" s="1"/>
      <c r="FHR4" s="1"/>
      <c r="FHS4" s="1"/>
      <c r="FHT4" s="1"/>
      <c r="FHU4" s="1"/>
      <c r="FHV4" s="1"/>
      <c r="FHW4" s="1"/>
      <c r="FHX4" s="1"/>
      <c r="FHY4" s="1"/>
      <c r="FHZ4" s="1"/>
      <c r="FIA4" s="1"/>
      <c r="FIB4" s="1"/>
      <c r="FIC4" s="1"/>
      <c r="FID4" s="1"/>
      <c r="FIE4" s="1"/>
      <c r="FIF4" s="1"/>
      <c r="FIG4" s="1"/>
      <c r="FIH4" s="1"/>
      <c r="FII4" s="1"/>
      <c r="FIJ4" s="1"/>
      <c r="FIK4" s="1"/>
      <c r="FIL4" s="1"/>
      <c r="FIM4" s="1"/>
      <c r="FIN4" s="1"/>
      <c r="FIO4" s="1"/>
      <c r="FIP4" s="1"/>
      <c r="FIQ4" s="1"/>
      <c r="FIR4" s="1"/>
      <c r="FIS4" s="1"/>
      <c r="FIT4" s="1"/>
      <c r="FIU4" s="1"/>
      <c r="FIV4" s="1"/>
      <c r="FIW4" s="1"/>
      <c r="FIX4" s="1"/>
      <c r="FIY4" s="1"/>
      <c r="FIZ4" s="1"/>
      <c r="FJA4" s="1"/>
      <c r="FJB4" s="1"/>
      <c r="FJC4" s="1"/>
      <c r="FJD4" s="1"/>
      <c r="FJE4" s="1"/>
      <c r="FJF4" s="1"/>
      <c r="FJG4" s="1"/>
      <c r="FJH4" s="1"/>
      <c r="FJI4" s="1"/>
      <c r="FJJ4" s="1"/>
      <c r="FJK4" s="1"/>
      <c r="FJL4" s="1"/>
      <c r="FJM4" s="1"/>
      <c r="FJN4" s="1"/>
      <c r="FJO4" s="1"/>
      <c r="FJP4" s="1"/>
      <c r="FJQ4" s="1"/>
      <c r="FJR4" s="1"/>
      <c r="FJS4" s="1"/>
      <c r="FJT4" s="1"/>
      <c r="FJU4" s="1"/>
      <c r="FJV4" s="1"/>
      <c r="FJW4" s="1"/>
      <c r="FJX4" s="1"/>
      <c r="FJY4" s="1"/>
      <c r="FJZ4" s="1"/>
      <c r="FKA4" s="1"/>
      <c r="FKB4" s="1"/>
      <c r="FKC4" s="1"/>
      <c r="FKD4" s="1"/>
      <c r="FKE4" s="1"/>
      <c r="FKF4" s="1"/>
      <c r="FKG4" s="1"/>
      <c r="FKH4" s="1"/>
      <c r="FKI4" s="1"/>
      <c r="FKJ4" s="1"/>
      <c r="FKK4" s="1"/>
      <c r="FKL4" s="1"/>
      <c r="FKM4" s="1"/>
      <c r="FKN4" s="1"/>
      <c r="FKO4" s="1"/>
      <c r="FKP4" s="1"/>
      <c r="FKQ4" s="1"/>
      <c r="FKR4" s="1"/>
      <c r="FKS4" s="1"/>
      <c r="FKT4" s="1"/>
      <c r="FKU4" s="1"/>
      <c r="FKV4" s="1"/>
      <c r="FKW4" s="1"/>
      <c r="FKX4" s="1"/>
      <c r="FKY4" s="1"/>
      <c r="FKZ4" s="1"/>
      <c r="FLA4" s="1"/>
      <c r="FLB4" s="1"/>
      <c r="FLC4" s="1"/>
      <c r="FLD4" s="1"/>
      <c r="FLE4" s="1"/>
      <c r="FLF4" s="1"/>
      <c r="FLG4" s="1"/>
      <c r="FLH4" s="1"/>
      <c r="FLI4" s="1"/>
      <c r="FLJ4" s="1"/>
      <c r="FLK4" s="1"/>
      <c r="FLL4" s="1"/>
      <c r="FLM4" s="1"/>
      <c r="FLN4" s="1"/>
      <c r="FLO4" s="1"/>
      <c r="FLP4" s="1"/>
      <c r="FLQ4" s="1"/>
      <c r="FLR4" s="1"/>
      <c r="FLS4" s="1"/>
      <c r="FLT4" s="1"/>
      <c r="FLU4" s="1"/>
      <c r="FLV4" s="1"/>
      <c r="FLW4" s="1"/>
      <c r="FLX4" s="1"/>
      <c r="FLY4" s="1"/>
      <c r="FLZ4" s="1"/>
      <c r="FMA4" s="1"/>
      <c r="FMB4" s="1"/>
      <c r="FMC4" s="1"/>
      <c r="FMD4" s="1"/>
      <c r="FME4" s="1"/>
      <c r="FMF4" s="1"/>
      <c r="FMG4" s="1"/>
      <c r="FMH4" s="1"/>
      <c r="FMI4" s="1"/>
      <c r="FMJ4" s="1"/>
      <c r="FMK4" s="1"/>
      <c r="FML4" s="1"/>
      <c r="FMM4" s="1"/>
      <c r="FMN4" s="1"/>
      <c r="FMO4" s="1"/>
      <c r="FMP4" s="1"/>
      <c r="FMQ4" s="1"/>
      <c r="FMR4" s="1"/>
      <c r="FMS4" s="1"/>
      <c r="FMT4" s="1"/>
      <c r="FMU4" s="1"/>
      <c r="FMV4" s="1"/>
      <c r="FMW4" s="1"/>
      <c r="FMX4" s="1"/>
      <c r="FMY4" s="1"/>
      <c r="FMZ4" s="1"/>
      <c r="FNA4" s="1"/>
      <c r="FNB4" s="1"/>
      <c r="FNC4" s="1"/>
      <c r="FND4" s="1"/>
      <c r="FNE4" s="1"/>
      <c r="FNF4" s="1"/>
      <c r="FNG4" s="1"/>
      <c r="FNH4" s="1"/>
      <c r="FNI4" s="1"/>
      <c r="FNJ4" s="1"/>
      <c r="FNK4" s="1"/>
      <c r="FNL4" s="1"/>
      <c r="FNM4" s="1"/>
      <c r="FNN4" s="1"/>
      <c r="FNO4" s="1"/>
      <c r="FNP4" s="1"/>
      <c r="FNQ4" s="1"/>
      <c r="FNR4" s="1"/>
      <c r="FNS4" s="1"/>
      <c r="FNT4" s="1"/>
      <c r="FNU4" s="1"/>
      <c r="FNV4" s="1"/>
      <c r="FNW4" s="1"/>
      <c r="FNX4" s="1"/>
      <c r="FNY4" s="1"/>
      <c r="FNZ4" s="1"/>
      <c r="FOA4" s="1"/>
      <c r="FOB4" s="1"/>
      <c r="FOC4" s="1"/>
      <c r="FOD4" s="1"/>
      <c r="FOE4" s="1"/>
      <c r="FOF4" s="1"/>
      <c r="FOG4" s="1"/>
      <c r="FOH4" s="1"/>
      <c r="FOI4" s="1"/>
      <c r="FOJ4" s="1"/>
      <c r="FOK4" s="1"/>
      <c r="FOL4" s="1"/>
      <c r="FOM4" s="1"/>
      <c r="FON4" s="1"/>
      <c r="FOO4" s="1"/>
      <c r="FOP4" s="1"/>
      <c r="FOQ4" s="1"/>
      <c r="FOR4" s="1"/>
      <c r="FOS4" s="1"/>
      <c r="FOT4" s="1"/>
      <c r="FOU4" s="1"/>
      <c r="FOV4" s="1"/>
      <c r="FOW4" s="1"/>
      <c r="FOX4" s="1"/>
      <c r="FOY4" s="1"/>
      <c r="FOZ4" s="1"/>
      <c r="FPA4" s="1"/>
      <c r="FPB4" s="1"/>
      <c r="FPC4" s="1"/>
      <c r="FPD4" s="1"/>
      <c r="FPE4" s="1"/>
      <c r="FPF4" s="1"/>
      <c r="FPG4" s="1"/>
      <c r="FPH4" s="1"/>
      <c r="FPI4" s="1"/>
      <c r="FPJ4" s="1"/>
      <c r="FPK4" s="1"/>
      <c r="FPL4" s="1"/>
      <c r="FPM4" s="1"/>
      <c r="FPN4" s="1"/>
      <c r="FPO4" s="1"/>
      <c r="FPP4" s="1"/>
      <c r="FPQ4" s="1"/>
      <c r="FPR4" s="1"/>
      <c r="FPS4" s="1"/>
      <c r="FPT4" s="1"/>
      <c r="FPU4" s="1"/>
      <c r="FPV4" s="1"/>
      <c r="FPW4" s="1"/>
      <c r="FPX4" s="1"/>
      <c r="FPY4" s="1"/>
      <c r="FPZ4" s="1"/>
      <c r="FQA4" s="1"/>
      <c r="FQB4" s="1"/>
      <c r="FQC4" s="1"/>
      <c r="FQD4" s="1"/>
      <c r="FQE4" s="1"/>
      <c r="FQF4" s="1"/>
      <c r="FQG4" s="1"/>
      <c r="FQH4" s="1"/>
      <c r="FQI4" s="1"/>
      <c r="FQJ4" s="1"/>
      <c r="FQK4" s="1"/>
      <c r="FQL4" s="1"/>
      <c r="FQM4" s="1"/>
      <c r="FQN4" s="1"/>
      <c r="FQO4" s="1"/>
      <c r="FQP4" s="1"/>
      <c r="FQQ4" s="1"/>
      <c r="FQR4" s="1"/>
      <c r="FQS4" s="1"/>
      <c r="FQT4" s="1"/>
      <c r="FQU4" s="1"/>
      <c r="FQV4" s="1"/>
      <c r="FQW4" s="1"/>
      <c r="FQX4" s="1"/>
      <c r="FQY4" s="1"/>
      <c r="FQZ4" s="1"/>
      <c r="FRA4" s="1"/>
      <c r="FRB4" s="1"/>
      <c r="FRC4" s="1"/>
      <c r="FRD4" s="1"/>
      <c r="FRE4" s="1"/>
      <c r="FRF4" s="1"/>
      <c r="FRG4" s="1"/>
      <c r="FRH4" s="1"/>
      <c r="FRI4" s="1"/>
      <c r="FRJ4" s="1"/>
      <c r="FRK4" s="1"/>
      <c r="FRL4" s="1"/>
      <c r="FRM4" s="1"/>
      <c r="FRN4" s="1"/>
      <c r="FRO4" s="1"/>
      <c r="FRP4" s="1"/>
      <c r="FRQ4" s="1"/>
      <c r="FRR4" s="1"/>
      <c r="FRS4" s="1"/>
      <c r="FRT4" s="1"/>
      <c r="FRU4" s="1"/>
      <c r="FRV4" s="1"/>
      <c r="FRW4" s="1"/>
      <c r="FRX4" s="1"/>
      <c r="FRY4" s="1"/>
      <c r="FRZ4" s="1"/>
      <c r="FSA4" s="1"/>
      <c r="FSB4" s="1"/>
      <c r="FSC4" s="1"/>
      <c r="FSD4" s="1"/>
      <c r="FSE4" s="1"/>
      <c r="FSF4" s="1"/>
      <c r="FSG4" s="1"/>
      <c r="FSH4" s="1"/>
      <c r="FSI4" s="1"/>
      <c r="FSJ4" s="1"/>
      <c r="FSK4" s="1"/>
      <c r="FSL4" s="1"/>
      <c r="FSM4" s="1"/>
      <c r="FSN4" s="1"/>
      <c r="FSO4" s="1"/>
      <c r="FSP4" s="1"/>
      <c r="FSQ4" s="1"/>
      <c r="FSR4" s="1"/>
      <c r="FSS4" s="1"/>
      <c r="FST4" s="1"/>
      <c r="FSU4" s="1"/>
      <c r="FSV4" s="1"/>
      <c r="FSW4" s="1"/>
      <c r="FSX4" s="1"/>
      <c r="FSY4" s="1"/>
      <c r="FSZ4" s="1"/>
      <c r="FTA4" s="1"/>
      <c r="FTB4" s="1"/>
      <c r="FTC4" s="1"/>
      <c r="FTD4" s="1"/>
      <c r="FTE4" s="1"/>
      <c r="FTF4" s="1"/>
      <c r="FTG4" s="1"/>
      <c r="FTH4" s="1"/>
      <c r="FTI4" s="1"/>
      <c r="FTJ4" s="1"/>
      <c r="FTK4" s="1"/>
      <c r="FTL4" s="1"/>
      <c r="FTM4" s="1"/>
      <c r="FTN4" s="1"/>
      <c r="FTO4" s="1"/>
      <c r="FTP4" s="1"/>
      <c r="FTQ4" s="1"/>
      <c r="FTR4" s="1"/>
      <c r="FTS4" s="1"/>
      <c r="FTT4" s="1"/>
      <c r="FTU4" s="1"/>
      <c r="FTV4" s="1"/>
      <c r="FTW4" s="1"/>
      <c r="FTX4" s="1"/>
      <c r="FTY4" s="1"/>
      <c r="FTZ4" s="1"/>
      <c r="FUA4" s="1"/>
      <c r="FUB4" s="1"/>
      <c r="FUC4" s="1"/>
      <c r="FUD4" s="1"/>
      <c r="FUE4" s="1"/>
      <c r="FUF4" s="1"/>
      <c r="FUG4" s="1"/>
      <c r="FUH4" s="1"/>
      <c r="FUI4" s="1"/>
      <c r="FUJ4" s="1"/>
      <c r="FUK4" s="1"/>
      <c r="FUL4" s="1"/>
      <c r="FUM4" s="1"/>
      <c r="FUN4" s="1"/>
      <c r="FUO4" s="1"/>
      <c r="FUP4" s="1"/>
      <c r="FUQ4" s="1"/>
      <c r="FUR4" s="1"/>
      <c r="FUS4" s="1"/>
      <c r="FUT4" s="1"/>
      <c r="FUU4" s="1"/>
      <c r="FUV4" s="1"/>
      <c r="FUW4" s="1"/>
      <c r="FUX4" s="1"/>
      <c r="FUY4" s="1"/>
      <c r="FUZ4" s="1"/>
      <c r="FVA4" s="1"/>
      <c r="FVB4" s="1"/>
      <c r="FVC4" s="1"/>
      <c r="FVD4" s="1"/>
      <c r="FVE4" s="1"/>
      <c r="FVF4" s="1"/>
      <c r="FVG4" s="1"/>
      <c r="FVH4" s="1"/>
      <c r="FVI4" s="1"/>
      <c r="FVJ4" s="1"/>
      <c r="FVK4" s="1"/>
      <c r="FVL4" s="1"/>
      <c r="FVM4" s="1"/>
      <c r="FVN4" s="1"/>
      <c r="FVO4" s="1"/>
      <c r="FVP4" s="1"/>
      <c r="FVQ4" s="1"/>
      <c r="FVR4" s="1"/>
      <c r="FVS4" s="1"/>
      <c r="FVT4" s="1"/>
      <c r="FVU4" s="1"/>
      <c r="FVV4" s="1"/>
      <c r="FVW4" s="1"/>
      <c r="FVX4" s="1"/>
      <c r="FVY4" s="1"/>
      <c r="FVZ4" s="1"/>
      <c r="FWA4" s="1"/>
      <c r="FWB4" s="1"/>
      <c r="FWC4" s="1"/>
      <c r="FWD4" s="1"/>
      <c r="FWE4" s="1"/>
      <c r="FWF4" s="1"/>
      <c r="FWG4" s="1"/>
      <c r="FWH4" s="1"/>
      <c r="FWI4" s="1"/>
      <c r="FWJ4" s="1"/>
      <c r="FWK4" s="1"/>
      <c r="FWL4" s="1"/>
      <c r="FWM4" s="1"/>
      <c r="FWN4" s="1"/>
      <c r="FWO4" s="1"/>
      <c r="FWP4" s="1"/>
      <c r="FWQ4" s="1"/>
      <c r="FWR4" s="1"/>
      <c r="FWS4" s="1"/>
      <c r="FWT4" s="1"/>
      <c r="FWU4" s="1"/>
      <c r="FWV4" s="1"/>
      <c r="FWW4" s="1"/>
      <c r="FWX4" s="1"/>
      <c r="FWY4" s="1"/>
      <c r="FWZ4" s="1"/>
      <c r="FXA4" s="1"/>
      <c r="FXB4" s="1"/>
      <c r="FXC4" s="1"/>
      <c r="FXD4" s="1"/>
      <c r="FXE4" s="1"/>
      <c r="FXF4" s="1"/>
      <c r="FXG4" s="1"/>
      <c r="FXH4" s="1"/>
      <c r="FXI4" s="1"/>
      <c r="FXJ4" s="1"/>
      <c r="FXK4" s="1"/>
      <c r="FXL4" s="1"/>
      <c r="FXM4" s="1"/>
      <c r="FXN4" s="1"/>
      <c r="FXO4" s="1"/>
      <c r="FXP4" s="1"/>
      <c r="FXQ4" s="1"/>
      <c r="FXR4" s="1"/>
      <c r="FXS4" s="1"/>
      <c r="FXT4" s="1"/>
      <c r="FXU4" s="1"/>
      <c r="FXV4" s="1"/>
      <c r="FXW4" s="1"/>
      <c r="FXX4" s="1"/>
      <c r="FXY4" s="1"/>
      <c r="FXZ4" s="1"/>
      <c r="FYA4" s="1"/>
      <c r="FYB4" s="1"/>
      <c r="FYC4" s="1"/>
      <c r="FYD4" s="1"/>
      <c r="FYE4" s="1"/>
      <c r="FYF4" s="1"/>
      <c r="FYG4" s="1"/>
      <c r="FYH4" s="1"/>
      <c r="FYI4" s="1"/>
      <c r="FYJ4" s="1"/>
      <c r="FYK4" s="1"/>
      <c r="FYL4" s="1"/>
      <c r="FYM4" s="1"/>
      <c r="FYN4" s="1"/>
      <c r="FYO4" s="1"/>
      <c r="FYP4" s="1"/>
      <c r="FYQ4" s="1"/>
      <c r="FYR4" s="1"/>
      <c r="FYS4" s="1"/>
      <c r="FYT4" s="1"/>
      <c r="FYU4" s="1"/>
      <c r="FYV4" s="1"/>
      <c r="FYW4" s="1"/>
      <c r="FYX4" s="1"/>
      <c r="FYY4" s="1"/>
      <c r="FYZ4" s="1"/>
      <c r="FZA4" s="1"/>
      <c r="FZB4" s="1"/>
      <c r="FZC4" s="1"/>
      <c r="FZD4" s="1"/>
      <c r="FZE4" s="1"/>
      <c r="FZF4" s="1"/>
      <c r="FZG4" s="1"/>
      <c r="FZH4" s="1"/>
      <c r="FZI4" s="1"/>
      <c r="FZJ4" s="1"/>
      <c r="FZK4" s="1"/>
      <c r="FZL4" s="1"/>
      <c r="FZM4" s="1"/>
      <c r="FZN4" s="1"/>
      <c r="FZO4" s="1"/>
      <c r="FZP4" s="1"/>
      <c r="FZQ4" s="1"/>
      <c r="FZR4" s="1"/>
      <c r="FZS4" s="1"/>
      <c r="FZT4" s="1"/>
      <c r="FZU4" s="1"/>
      <c r="FZV4" s="1"/>
      <c r="FZW4" s="1"/>
      <c r="FZX4" s="1"/>
      <c r="FZY4" s="1"/>
      <c r="FZZ4" s="1"/>
      <c r="GAA4" s="1"/>
      <c r="GAB4" s="1"/>
      <c r="GAC4" s="1"/>
      <c r="GAD4" s="1"/>
      <c r="GAE4" s="1"/>
      <c r="GAF4" s="1"/>
      <c r="GAG4" s="1"/>
      <c r="GAH4" s="1"/>
      <c r="GAI4" s="1"/>
      <c r="GAJ4" s="1"/>
      <c r="GAK4" s="1"/>
      <c r="GAL4" s="1"/>
      <c r="GAM4" s="1"/>
      <c r="GAN4" s="1"/>
      <c r="GAO4" s="1"/>
      <c r="GAP4" s="1"/>
      <c r="GAQ4" s="1"/>
      <c r="GAR4" s="1"/>
      <c r="GAS4" s="1"/>
      <c r="GAT4" s="1"/>
      <c r="GAU4" s="1"/>
      <c r="GAV4" s="1"/>
      <c r="GAW4" s="1"/>
      <c r="GAX4" s="1"/>
      <c r="GAY4" s="1"/>
      <c r="GAZ4" s="1"/>
      <c r="GBA4" s="1"/>
      <c r="GBB4" s="1"/>
      <c r="GBC4" s="1"/>
      <c r="GBD4" s="1"/>
      <c r="GBE4" s="1"/>
      <c r="GBF4" s="1"/>
      <c r="GBG4" s="1"/>
      <c r="GBH4" s="1"/>
      <c r="GBI4" s="1"/>
      <c r="GBJ4" s="1"/>
      <c r="GBK4" s="1"/>
      <c r="GBL4" s="1"/>
      <c r="GBM4" s="1"/>
      <c r="GBN4" s="1"/>
      <c r="GBO4" s="1"/>
      <c r="GBP4" s="1"/>
      <c r="GBQ4" s="1"/>
      <c r="GBR4" s="1"/>
      <c r="GBS4" s="1"/>
      <c r="GBT4" s="1"/>
      <c r="GBU4" s="1"/>
      <c r="GBV4" s="1"/>
      <c r="GBW4" s="1"/>
      <c r="GBX4" s="1"/>
      <c r="GBY4" s="1"/>
      <c r="GBZ4" s="1"/>
      <c r="GCA4" s="1"/>
      <c r="GCB4" s="1"/>
      <c r="GCC4" s="1"/>
      <c r="GCD4" s="1"/>
      <c r="GCE4" s="1"/>
      <c r="GCF4" s="1"/>
      <c r="GCG4" s="1"/>
      <c r="GCH4" s="1"/>
      <c r="GCI4" s="1"/>
      <c r="GCJ4" s="1"/>
      <c r="GCK4" s="1"/>
      <c r="GCL4" s="1"/>
      <c r="GCM4" s="1"/>
      <c r="GCN4" s="1"/>
      <c r="GCO4" s="1"/>
      <c r="GCP4" s="1"/>
      <c r="GCQ4" s="1"/>
      <c r="GCR4" s="1"/>
      <c r="GCS4" s="1"/>
      <c r="GCT4" s="1"/>
      <c r="GCU4" s="1"/>
      <c r="GCV4" s="1"/>
      <c r="GCW4" s="1"/>
      <c r="GCX4" s="1"/>
      <c r="GCY4" s="1"/>
      <c r="GCZ4" s="1"/>
      <c r="GDA4" s="1"/>
      <c r="GDB4" s="1"/>
      <c r="GDC4" s="1"/>
      <c r="GDD4" s="1"/>
      <c r="GDE4" s="1"/>
      <c r="GDF4" s="1"/>
      <c r="GDG4" s="1"/>
      <c r="GDH4" s="1"/>
      <c r="GDI4" s="1"/>
      <c r="GDJ4" s="1"/>
      <c r="GDK4" s="1"/>
      <c r="GDL4" s="1"/>
      <c r="GDM4" s="1"/>
      <c r="GDN4" s="1"/>
      <c r="GDO4" s="1"/>
      <c r="GDP4" s="1"/>
      <c r="GDQ4" s="1"/>
      <c r="GDR4" s="1"/>
      <c r="GDS4" s="1"/>
      <c r="GDT4" s="1"/>
      <c r="GDU4" s="1"/>
      <c r="GDV4" s="1"/>
      <c r="GDW4" s="1"/>
      <c r="GDX4" s="1"/>
      <c r="GDY4" s="1"/>
      <c r="GDZ4" s="1"/>
      <c r="GEA4" s="1"/>
      <c r="GEB4" s="1"/>
      <c r="GEC4" s="1"/>
      <c r="GED4" s="1"/>
      <c r="GEE4" s="1"/>
      <c r="GEF4" s="1"/>
      <c r="GEG4" s="1"/>
      <c r="GEH4" s="1"/>
      <c r="GEI4" s="1"/>
      <c r="GEJ4" s="1"/>
      <c r="GEK4" s="1"/>
      <c r="GEL4" s="1"/>
      <c r="GEM4" s="1"/>
      <c r="GEN4" s="1"/>
      <c r="GEO4" s="1"/>
      <c r="GEP4" s="1"/>
      <c r="GEQ4" s="1"/>
      <c r="GER4" s="1"/>
      <c r="GES4" s="1"/>
      <c r="GET4" s="1"/>
      <c r="GEU4" s="1"/>
      <c r="GEV4" s="1"/>
      <c r="GEW4" s="1"/>
      <c r="GEX4" s="1"/>
      <c r="GEY4" s="1"/>
      <c r="GEZ4" s="1"/>
      <c r="GFA4" s="1"/>
      <c r="GFB4" s="1"/>
      <c r="GFC4" s="1"/>
      <c r="GFD4" s="1"/>
      <c r="GFE4" s="1"/>
      <c r="GFF4" s="1"/>
      <c r="GFG4" s="1"/>
      <c r="GFH4" s="1"/>
      <c r="GFI4" s="1"/>
      <c r="GFJ4" s="1"/>
      <c r="GFK4" s="1"/>
      <c r="GFL4" s="1"/>
      <c r="GFM4" s="1"/>
      <c r="GFN4" s="1"/>
      <c r="GFO4" s="1"/>
      <c r="GFP4" s="1"/>
      <c r="GFQ4" s="1"/>
      <c r="GFR4" s="1"/>
      <c r="GFS4" s="1"/>
      <c r="GFT4" s="1"/>
      <c r="GFU4" s="1"/>
      <c r="GFV4" s="1"/>
      <c r="GFW4" s="1"/>
      <c r="GFX4" s="1"/>
      <c r="GFY4" s="1"/>
      <c r="GFZ4" s="1"/>
      <c r="GGA4" s="1"/>
      <c r="GGB4" s="1"/>
      <c r="GGC4" s="1"/>
      <c r="GGD4" s="1"/>
      <c r="GGE4" s="1"/>
      <c r="GGF4" s="1"/>
      <c r="GGG4" s="1"/>
      <c r="GGH4" s="1"/>
      <c r="GGI4" s="1"/>
      <c r="GGJ4" s="1"/>
      <c r="GGK4" s="1"/>
      <c r="GGL4" s="1"/>
      <c r="GGM4" s="1"/>
      <c r="GGN4" s="1"/>
      <c r="GGO4" s="1"/>
      <c r="GGP4" s="1"/>
      <c r="GGQ4" s="1"/>
      <c r="GGR4" s="1"/>
      <c r="GGS4" s="1"/>
      <c r="GGT4" s="1"/>
      <c r="GGU4" s="1"/>
      <c r="GGV4" s="1"/>
      <c r="GGW4" s="1"/>
      <c r="GGX4" s="1"/>
      <c r="GGY4" s="1"/>
      <c r="GGZ4" s="1"/>
      <c r="GHA4" s="1"/>
      <c r="GHB4" s="1"/>
      <c r="GHC4" s="1"/>
      <c r="GHD4" s="1"/>
      <c r="GHE4" s="1"/>
      <c r="GHF4" s="1"/>
      <c r="GHG4" s="1"/>
      <c r="GHH4" s="1"/>
      <c r="GHI4" s="1"/>
      <c r="GHJ4" s="1"/>
      <c r="GHK4" s="1"/>
      <c r="GHL4" s="1"/>
      <c r="GHM4" s="1"/>
      <c r="GHN4" s="1"/>
      <c r="GHO4" s="1"/>
      <c r="GHP4" s="1"/>
      <c r="GHQ4" s="1"/>
      <c r="GHR4" s="1"/>
      <c r="GHS4" s="1"/>
      <c r="GHT4" s="1"/>
      <c r="GHU4" s="1"/>
      <c r="GHV4" s="1"/>
      <c r="GHW4" s="1"/>
      <c r="GHX4" s="1"/>
      <c r="GHY4" s="1"/>
      <c r="GHZ4" s="1"/>
      <c r="GIA4" s="1"/>
      <c r="GIB4" s="1"/>
      <c r="GIC4" s="1"/>
      <c r="GID4" s="1"/>
      <c r="GIE4" s="1"/>
      <c r="GIF4" s="1"/>
      <c r="GIG4" s="1"/>
      <c r="GIH4" s="1"/>
      <c r="GII4" s="1"/>
      <c r="GIJ4" s="1"/>
      <c r="GIK4" s="1"/>
      <c r="GIL4" s="1"/>
      <c r="GIM4" s="1"/>
      <c r="GIN4" s="1"/>
      <c r="GIO4" s="1"/>
      <c r="GIP4" s="1"/>
      <c r="GIQ4" s="1"/>
      <c r="GIR4" s="1"/>
      <c r="GIS4" s="1"/>
      <c r="GIT4" s="1"/>
      <c r="GIU4" s="1"/>
      <c r="GIV4" s="1"/>
      <c r="GIW4" s="1"/>
      <c r="GIX4" s="1"/>
      <c r="GIY4" s="1"/>
      <c r="GIZ4" s="1"/>
      <c r="GJA4" s="1"/>
      <c r="GJB4" s="1"/>
      <c r="GJC4" s="1"/>
      <c r="GJD4" s="1"/>
      <c r="GJE4" s="1"/>
      <c r="GJF4" s="1"/>
      <c r="GJG4" s="1"/>
      <c r="GJH4" s="1"/>
      <c r="GJI4" s="1"/>
      <c r="GJJ4" s="1"/>
      <c r="GJK4" s="1"/>
      <c r="GJL4" s="1"/>
      <c r="GJM4" s="1"/>
      <c r="GJN4" s="1"/>
      <c r="GJO4" s="1"/>
      <c r="GJP4" s="1"/>
      <c r="GJQ4" s="1"/>
      <c r="GJR4" s="1"/>
      <c r="GJS4" s="1"/>
      <c r="GJT4" s="1"/>
      <c r="GJU4" s="1"/>
      <c r="GJV4" s="1"/>
      <c r="GJW4" s="1"/>
      <c r="GJX4" s="1"/>
      <c r="GJY4" s="1"/>
      <c r="GJZ4" s="1"/>
      <c r="GKA4" s="1"/>
      <c r="GKB4" s="1"/>
      <c r="GKC4" s="1"/>
      <c r="GKD4" s="1"/>
      <c r="GKE4" s="1"/>
      <c r="GKF4" s="1"/>
      <c r="GKG4" s="1"/>
      <c r="GKH4" s="1"/>
      <c r="GKI4" s="1"/>
      <c r="GKJ4" s="1"/>
      <c r="GKK4" s="1"/>
      <c r="GKL4" s="1"/>
      <c r="GKM4" s="1"/>
      <c r="GKN4" s="1"/>
      <c r="GKO4" s="1"/>
      <c r="GKP4" s="1"/>
      <c r="GKQ4" s="1"/>
      <c r="GKR4" s="1"/>
      <c r="GKS4" s="1"/>
      <c r="GKT4" s="1"/>
      <c r="GKU4" s="1"/>
      <c r="GKV4" s="1"/>
      <c r="GKW4" s="1"/>
      <c r="GKX4" s="1"/>
      <c r="GKY4" s="1"/>
      <c r="GKZ4" s="1"/>
      <c r="GLA4" s="1"/>
      <c r="GLB4" s="1"/>
      <c r="GLC4" s="1"/>
      <c r="GLD4" s="1"/>
      <c r="GLE4" s="1"/>
      <c r="GLF4" s="1"/>
      <c r="GLG4" s="1"/>
      <c r="GLH4" s="1"/>
      <c r="GLI4" s="1"/>
      <c r="GLJ4" s="1"/>
      <c r="GLK4" s="1"/>
      <c r="GLL4" s="1"/>
      <c r="GLM4" s="1"/>
      <c r="GLN4" s="1"/>
      <c r="GLO4" s="1"/>
      <c r="GLP4" s="1"/>
      <c r="GLQ4" s="1"/>
      <c r="GLR4" s="1"/>
      <c r="GLS4" s="1"/>
      <c r="GLT4" s="1"/>
      <c r="GLU4" s="1"/>
      <c r="GLV4" s="1"/>
      <c r="GLW4" s="1"/>
      <c r="GLX4" s="1"/>
      <c r="GLY4" s="1"/>
      <c r="GLZ4" s="1"/>
      <c r="GMA4" s="1"/>
      <c r="GMB4" s="1"/>
      <c r="GMC4" s="1"/>
      <c r="GMD4" s="1"/>
      <c r="GME4" s="1"/>
      <c r="GMF4" s="1"/>
      <c r="GMG4" s="1"/>
      <c r="GMH4" s="1"/>
      <c r="GMI4" s="1"/>
      <c r="GMJ4" s="1"/>
      <c r="GMK4" s="1"/>
      <c r="GML4" s="1"/>
      <c r="GMM4" s="1"/>
      <c r="GMN4" s="1"/>
      <c r="GMO4" s="1"/>
      <c r="GMP4" s="1"/>
      <c r="GMQ4" s="1"/>
      <c r="GMR4" s="1"/>
      <c r="GMS4" s="1"/>
      <c r="GMT4" s="1"/>
      <c r="GMU4" s="1"/>
      <c r="GMV4" s="1"/>
      <c r="GMW4" s="1"/>
      <c r="GMX4" s="1"/>
      <c r="GMY4" s="1"/>
      <c r="GMZ4" s="1"/>
      <c r="GNA4" s="1"/>
      <c r="GNB4" s="1"/>
      <c r="GNC4" s="1"/>
      <c r="GND4" s="1"/>
      <c r="GNE4" s="1"/>
      <c r="GNF4" s="1"/>
      <c r="GNG4" s="1"/>
      <c r="GNH4" s="1"/>
      <c r="GNI4" s="1"/>
      <c r="GNJ4" s="1"/>
      <c r="GNK4" s="1"/>
      <c r="GNL4" s="1"/>
      <c r="GNM4" s="1"/>
      <c r="GNN4" s="1"/>
      <c r="GNO4" s="1"/>
      <c r="GNP4" s="1"/>
      <c r="GNQ4" s="1"/>
      <c r="GNR4" s="1"/>
      <c r="GNS4" s="1"/>
      <c r="GNT4" s="1"/>
      <c r="GNU4" s="1"/>
      <c r="GNV4" s="1"/>
      <c r="GNW4" s="1"/>
      <c r="GNX4" s="1"/>
      <c r="GNY4" s="1"/>
      <c r="GNZ4" s="1"/>
      <c r="GOA4" s="1"/>
      <c r="GOB4" s="1"/>
      <c r="GOC4" s="1"/>
      <c r="GOD4" s="1"/>
      <c r="GOE4" s="1"/>
      <c r="GOF4" s="1"/>
      <c r="GOG4" s="1"/>
      <c r="GOH4" s="1"/>
      <c r="GOI4" s="1"/>
      <c r="GOJ4" s="1"/>
      <c r="GOK4" s="1"/>
      <c r="GOL4" s="1"/>
      <c r="GOM4" s="1"/>
      <c r="GON4" s="1"/>
      <c r="GOO4" s="1"/>
      <c r="GOP4" s="1"/>
      <c r="GOQ4" s="1"/>
      <c r="GOR4" s="1"/>
      <c r="GOS4" s="1"/>
      <c r="GOT4" s="1"/>
      <c r="GOU4" s="1"/>
      <c r="GOV4" s="1"/>
      <c r="GOW4" s="1"/>
      <c r="GOX4" s="1"/>
      <c r="GOY4" s="1"/>
      <c r="GOZ4" s="1"/>
      <c r="GPA4" s="1"/>
      <c r="GPB4" s="1"/>
      <c r="GPC4" s="1"/>
      <c r="GPD4" s="1"/>
      <c r="GPE4" s="1"/>
      <c r="GPF4" s="1"/>
      <c r="GPG4" s="1"/>
      <c r="GPH4" s="1"/>
      <c r="GPI4" s="1"/>
      <c r="GPJ4" s="1"/>
      <c r="GPK4" s="1"/>
      <c r="GPL4" s="1"/>
      <c r="GPM4" s="1"/>
      <c r="GPN4" s="1"/>
      <c r="GPO4" s="1"/>
      <c r="GPP4" s="1"/>
      <c r="GPQ4" s="1"/>
      <c r="GPR4" s="1"/>
      <c r="GPS4" s="1"/>
      <c r="GPT4" s="1"/>
      <c r="GPU4" s="1"/>
      <c r="GPV4" s="1"/>
      <c r="GPW4" s="1"/>
      <c r="GPX4" s="1"/>
      <c r="GPY4" s="1"/>
      <c r="GPZ4" s="1"/>
      <c r="GQA4" s="1"/>
      <c r="GQB4" s="1"/>
      <c r="GQC4" s="1"/>
      <c r="GQD4" s="1"/>
      <c r="GQE4" s="1"/>
      <c r="GQF4" s="1"/>
      <c r="GQG4" s="1"/>
      <c r="GQH4" s="1"/>
      <c r="GQI4" s="1"/>
      <c r="GQJ4" s="1"/>
      <c r="GQK4" s="1"/>
      <c r="GQL4" s="1"/>
      <c r="GQM4" s="1"/>
      <c r="GQN4" s="1"/>
      <c r="GQO4" s="1"/>
      <c r="GQP4" s="1"/>
      <c r="GQQ4" s="1"/>
      <c r="GQR4" s="1"/>
      <c r="GQS4" s="1"/>
      <c r="GQT4" s="1"/>
      <c r="GQU4" s="1"/>
      <c r="GQV4" s="1"/>
      <c r="GQW4" s="1"/>
      <c r="GQX4" s="1"/>
      <c r="GQY4" s="1"/>
      <c r="GQZ4" s="1"/>
      <c r="GRA4" s="1"/>
      <c r="GRB4" s="1"/>
      <c r="GRC4" s="1"/>
      <c r="GRD4" s="1"/>
      <c r="GRE4" s="1"/>
      <c r="GRF4" s="1"/>
      <c r="GRG4" s="1"/>
      <c r="GRH4" s="1"/>
      <c r="GRI4" s="1"/>
      <c r="GRJ4" s="1"/>
      <c r="GRK4" s="1"/>
      <c r="GRL4" s="1"/>
      <c r="GRM4" s="1"/>
      <c r="GRN4" s="1"/>
      <c r="GRO4" s="1"/>
      <c r="GRP4" s="1"/>
      <c r="GRQ4" s="1"/>
      <c r="GRR4" s="1"/>
      <c r="GRS4" s="1"/>
      <c r="GRT4" s="1"/>
      <c r="GRU4" s="1"/>
      <c r="GRV4" s="1"/>
      <c r="GRW4" s="1"/>
      <c r="GRX4" s="1"/>
      <c r="GRY4" s="1"/>
      <c r="GRZ4" s="1"/>
      <c r="GSA4" s="1"/>
      <c r="GSB4" s="1"/>
      <c r="GSC4" s="1"/>
      <c r="GSD4" s="1"/>
      <c r="GSE4" s="1"/>
      <c r="GSF4" s="1"/>
      <c r="GSG4" s="1"/>
      <c r="GSH4" s="1"/>
      <c r="GSI4" s="1"/>
      <c r="GSJ4" s="1"/>
      <c r="GSK4" s="1"/>
      <c r="GSL4" s="1"/>
      <c r="GSM4" s="1"/>
      <c r="GSN4" s="1"/>
      <c r="GSO4" s="1"/>
      <c r="GSP4" s="1"/>
      <c r="GSQ4" s="1"/>
      <c r="GSR4" s="1"/>
      <c r="GSS4" s="1"/>
      <c r="GST4" s="1"/>
      <c r="GSU4" s="1"/>
      <c r="GSV4" s="1"/>
      <c r="GSW4" s="1"/>
      <c r="GSX4" s="1"/>
      <c r="GSY4" s="1"/>
      <c r="GSZ4" s="1"/>
      <c r="GTA4" s="1"/>
      <c r="GTB4" s="1"/>
      <c r="GTC4" s="1"/>
      <c r="GTD4" s="1"/>
      <c r="GTE4" s="1"/>
      <c r="GTF4" s="1"/>
      <c r="GTG4" s="1"/>
      <c r="GTH4" s="1"/>
      <c r="GTI4" s="1"/>
      <c r="GTJ4" s="1"/>
      <c r="GTK4" s="1"/>
      <c r="GTL4" s="1"/>
      <c r="GTM4" s="1"/>
      <c r="GTN4" s="1"/>
      <c r="GTO4" s="1"/>
      <c r="GTP4" s="1"/>
      <c r="GTQ4" s="1"/>
      <c r="GTR4" s="1"/>
      <c r="GTS4" s="1"/>
      <c r="GTT4" s="1"/>
      <c r="GTU4" s="1"/>
      <c r="GTV4" s="1"/>
      <c r="GTW4" s="1"/>
      <c r="GTX4" s="1"/>
      <c r="GTY4" s="1"/>
      <c r="GTZ4" s="1"/>
      <c r="GUA4" s="1"/>
      <c r="GUB4" s="1"/>
      <c r="GUC4" s="1"/>
      <c r="GUD4" s="1"/>
      <c r="GUE4" s="1"/>
      <c r="GUF4" s="1"/>
      <c r="GUG4" s="1"/>
      <c r="GUH4" s="1"/>
      <c r="GUI4" s="1"/>
      <c r="GUJ4" s="1"/>
      <c r="GUK4" s="1"/>
      <c r="GUL4" s="1"/>
      <c r="GUM4" s="1"/>
      <c r="GUN4" s="1"/>
      <c r="GUO4" s="1"/>
      <c r="GUP4" s="1"/>
      <c r="GUQ4" s="1"/>
      <c r="GUR4" s="1"/>
      <c r="GUS4" s="1"/>
      <c r="GUT4" s="1"/>
      <c r="GUU4" s="1"/>
      <c r="GUV4" s="1"/>
      <c r="GUW4" s="1"/>
      <c r="GUX4" s="1"/>
      <c r="GUY4" s="1"/>
      <c r="GUZ4" s="1"/>
      <c r="GVA4" s="1"/>
      <c r="GVB4" s="1"/>
      <c r="GVC4" s="1"/>
      <c r="GVD4" s="1"/>
      <c r="GVE4" s="1"/>
      <c r="GVF4" s="1"/>
      <c r="GVG4" s="1"/>
      <c r="GVH4" s="1"/>
      <c r="GVI4" s="1"/>
      <c r="GVJ4" s="1"/>
      <c r="GVK4" s="1"/>
      <c r="GVL4" s="1"/>
      <c r="GVM4" s="1"/>
      <c r="GVN4" s="1"/>
      <c r="GVO4" s="1"/>
      <c r="GVP4" s="1"/>
      <c r="GVQ4" s="1"/>
      <c r="GVR4" s="1"/>
      <c r="GVS4" s="1"/>
      <c r="GVT4" s="1"/>
      <c r="GVU4" s="1"/>
      <c r="GVV4" s="1"/>
      <c r="GVW4" s="1"/>
      <c r="GVX4" s="1"/>
      <c r="GVY4" s="1"/>
      <c r="GVZ4" s="1"/>
      <c r="GWA4" s="1"/>
      <c r="GWB4" s="1"/>
      <c r="GWC4" s="1"/>
      <c r="GWD4" s="1"/>
      <c r="GWE4" s="1"/>
      <c r="GWF4" s="1"/>
      <c r="GWG4" s="1"/>
      <c r="GWH4" s="1"/>
      <c r="GWI4" s="1"/>
      <c r="GWJ4" s="1"/>
      <c r="GWK4" s="1"/>
      <c r="GWL4" s="1"/>
      <c r="GWM4" s="1"/>
      <c r="GWN4" s="1"/>
      <c r="GWO4" s="1"/>
      <c r="GWP4" s="1"/>
      <c r="GWQ4" s="1"/>
      <c r="GWR4" s="1"/>
      <c r="GWS4" s="1"/>
      <c r="GWT4" s="1"/>
      <c r="GWU4" s="1"/>
      <c r="GWV4" s="1"/>
      <c r="GWW4" s="1"/>
      <c r="GWX4" s="1"/>
      <c r="GWY4" s="1"/>
      <c r="GWZ4" s="1"/>
      <c r="GXA4" s="1"/>
      <c r="GXB4" s="1"/>
      <c r="GXC4" s="1"/>
      <c r="GXD4" s="1"/>
      <c r="GXE4" s="1"/>
      <c r="GXF4" s="1"/>
      <c r="GXG4" s="1"/>
      <c r="GXH4" s="1"/>
      <c r="GXI4" s="1"/>
      <c r="GXJ4" s="1"/>
      <c r="GXK4" s="1"/>
      <c r="GXL4" s="1"/>
      <c r="GXM4" s="1"/>
      <c r="GXN4" s="1"/>
      <c r="GXO4" s="1"/>
      <c r="GXP4" s="1"/>
      <c r="GXQ4" s="1"/>
      <c r="GXR4" s="1"/>
      <c r="GXS4" s="1"/>
      <c r="GXT4" s="1"/>
      <c r="GXU4" s="1"/>
      <c r="GXV4" s="1"/>
      <c r="GXW4" s="1"/>
      <c r="GXX4" s="1"/>
      <c r="GXY4" s="1"/>
      <c r="GXZ4" s="1"/>
      <c r="GYA4" s="1"/>
      <c r="GYB4" s="1"/>
      <c r="GYC4" s="1"/>
      <c r="GYD4" s="1"/>
      <c r="GYE4" s="1"/>
      <c r="GYF4" s="1"/>
      <c r="GYG4" s="1"/>
      <c r="GYH4" s="1"/>
      <c r="GYI4" s="1"/>
      <c r="GYJ4" s="1"/>
      <c r="GYK4" s="1"/>
      <c r="GYL4" s="1"/>
      <c r="GYM4" s="1"/>
      <c r="GYN4" s="1"/>
      <c r="GYO4" s="1"/>
      <c r="GYP4" s="1"/>
      <c r="GYQ4" s="1"/>
      <c r="GYR4" s="1"/>
      <c r="GYS4" s="1"/>
      <c r="GYT4" s="1"/>
      <c r="GYU4" s="1"/>
      <c r="GYV4" s="1"/>
      <c r="GYW4" s="1"/>
      <c r="GYX4" s="1"/>
      <c r="GYY4" s="1"/>
      <c r="GYZ4" s="1"/>
      <c r="GZA4" s="1"/>
      <c r="GZB4" s="1"/>
      <c r="GZC4" s="1"/>
      <c r="GZD4" s="1"/>
      <c r="GZE4" s="1"/>
      <c r="GZF4" s="1"/>
      <c r="GZG4" s="1"/>
      <c r="GZH4" s="1"/>
      <c r="GZI4" s="1"/>
      <c r="GZJ4" s="1"/>
      <c r="GZK4" s="1"/>
      <c r="GZL4" s="1"/>
      <c r="GZM4" s="1"/>
      <c r="GZN4" s="1"/>
      <c r="GZO4" s="1"/>
      <c r="GZP4" s="1"/>
      <c r="GZQ4" s="1"/>
      <c r="GZR4" s="1"/>
      <c r="GZS4" s="1"/>
      <c r="GZT4" s="1"/>
      <c r="GZU4" s="1"/>
      <c r="GZV4" s="1"/>
      <c r="GZW4" s="1"/>
      <c r="GZX4" s="1"/>
      <c r="GZY4" s="1"/>
      <c r="GZZ4" s="1"/>
      <c r="HAA4" s="1"/>
      <c r="HAB4" s="1"/>
      <c r="HAC4" s="1"/>
      <c r="HAD4" s="1"/>
      <c r="HAE4" s="1"/>
      <c r="HAF4" s="1"/>
      <c r="HAG4" s="1"/>
      <c r="HAH4" s="1"/>
      <c r="HAI4" s="1"/>
      <c r="HAJ4" s="1"/>
      <c r="HAK4" s="1"/>
      <c r="HAL4" s="1"/>
      <c r="HAM4" s="1"/>
      <c r="HAN4" s="1"/>
      <c r="HAO4" s="1"/>
      <c r="HAP4" s="1"/>
      <c r="HAQ4" s="1"/>
      <c r="HAR4" s="1"/>
      <c r="HAS4" s="1"/>
      <c r="HAT4" s="1"/>
      <c r="HAU4" s="1"/>
      <c r="HAV4" s="1"/>
      <c r="HAW4" s="1"/>
      <c r="HAX4" s="1"/>
      <c r="HAY4" s="1"/>
      <c r="HAZ4" s="1"/>
      <c r="HBA4" s="1"/>
      <c r="HBB4" s="1"/>
      <c r="HBC4" s="1"/>
      <c r="HBD4" s="1"/>
      <c r="HBE4" s="1"/>
      <c r="HBF4" s="1"/>
      <c r="HBG4" s="1"/>
      <c r="HBH4" s="1"/>
      <c r="HBI4" s="1"/>
      <c r="HBJ4" s="1"/>
      <c r="HBK4" s="1"/>
      <c r="HBL4" s="1"/>
      <c r="HBM4" s="1"/>
      <c r="HBN4" s="1"/>
      <c r="HBO4" s="1"/>
      <c r="HBP4" s="1"/>
      <c r="HBQ4" s="1"/>
      <c r="HBR4" s="1"/>
      <c r="HBS4" s="1"/>
      <c r="HBT4" s="1"/>
      <c r="HBU4" s="1"/>
      <c r="HBV4" s="1"/>
      <c r="HBW4" s="1"/>
      <c r="HBX4" s="1"/>
      <c r="HBY4" s="1"/>
      <c r="HBZ4" s="1"/>
      <c r="HCA4" s="1"/>
      <c r="HCB4" s="1"/>
      <c r="HCC4" s="1"/>
      <c r="HCD4" s="1"/>
      <c r="HCE4" s="1"/>
      <c r="HCF4" s="1"/>
      <c r="HCG4" s="1"/>
      <c r="HCH4" s="1"/>
      <c r="HCI4" s="1"/>
      <c r="HCJ4" s="1"/>
      <c r="HCK4" s="1"/>
      <c r="HCL4" s="1"/>
      <c r="HCM4" s="1"/>
      <c r="HCN4" s="1"/>
      <c r="HCO4" s="1"/>
      <c r="HCP4" s="1"/>
      <c r="HCQ4" s="1"/>
      <c r="HCR4" s="1"/>
      <c r="HCS4" s="1"/>
      <c r="HCT4" s="1"/>
      <c r="HCU4" s="1"/>
      <c r="HCV4" s="1"/>
      <c r="HCW4" s="1"/>
      <c r="HCX4" s="1"/>
      <c r="HCY4" s="1"/>
      <c r="HCZ4" s="1"/>
      <c r="HDA4" s="1"/>
      <c r="HDB4" s="1"/>
      <c r="HDC4" s="1"/>
      <c r="HDD4" s="1"/>
      <c r="HDE4" s="1"/>
      <c r="HDF4" s="1"/>
      <c r="HDG4" s="1"/>
      <c r="HDH4" s="1"/>
      <c r="HDI4" s="1"/>
      <c r="HDJ4" s="1"/>
      <c r="HDK4" s="1"/>
      <c r="HDL4" s="1"/>
      <c r="HDM4" s="1"/>
      <c r="HDN4" s="1"/>
      <c r="HDO4" s="1"/>
      <c r="HDP4" s="1"/>
      <c r="HDQ4" s="1"/>
      <c r="HDR4" s="1"/>
      <c r="HDS4" s="1"/>
      <c r="HDT4" s="1"/>
      <c r="HDU4" s="1"/>
      <c r="HDV4" s="1"/>
      <c r="HDW4" s="1"/>
      <c r="HDX4" s="1"/>
      <c r="HDY4" s="1"/>
      <c r="HDZ4" s="1"/>
      <c r="HEA4" s="1"/>
      <c r="HEB4" s="1"/>
      <c r="HEC4" s="1"/>
      <c r="HED4" s="1"/>
      <c r="HEE4" s="1"/>
      <c r="HEF4" s="1"/>
      <c r="HEG4" s="1"/>
      <c r="HEH4" s="1"/>
      <c r="HEI4" s="1"/>
      <c r="HEJ4" s="1"/>
      <c r="HEK4" s="1"/>
      <c r="HEL4" s="1"/>
      <c r="HEM4" s="1"/>
      <c r="HEN4" s="1"/>
      <c r="HEO4" s="1"/>
      <c r="HEP4" s="1"/>
      <c r="HEQ4" s="1"/>
      <c r="HER4" s="1"/>
      <c r="HES4" s="1"/>
      <c r="HET4" s="1"/>
      <c r="HEU4" s="1"/>
      <c r="HEV4" s="1"/>
      <c r="HEW4" s="1"/>
      <c r="HEX4" s="1"/>
      <c r="HEY4" s="1"/>
      <c r="HEZ4" s="1"/>
      <c r="HFA4" s="1"/>
      <c r="HFB4" s="1"/>
      <c r="HFC4" s="1"/>
      <c r="HFD4" s="1"/>
      <c r="HFE4" s="1"/>
      <c r="HFF4" s="1"/>
      <c r="HFG4" s="1"/>
      <c r="HFH4" s="1"/>
      <c r="HFI4" s="1"/>
      <c r="HFJ4" s="1"/>
      <c r="HFK4" s="1"/>
      <c r="HFL4" s="1"/>
      <c r="HFM4" s="1"/>
      <c r="HFN4" s="1"/>
      <c r="HFO4" s="1"/>
      <c r="HFP4" s="1"/>
      <c r="HFQ4" s="1"/>
      <c r="HFR4" s="1"/>
      <c r="HFS4" s="1"/>
      <c r="HFT4" s="1"/>
      <c r="HFU4" s="1"/>
      <c r="HFV4" s="1"/>
      <c r="HFW4" s="1"/>
      <c r="HFX4" s="1"/>
      <c r="HFY4" s="1"/>
      <c r="HFZ4" s="1"/>
      <c r="HGA4" s="1"/>
      <c r="HGB4" s="1"/>
      <c r="HGC4" s="1"/>
      <c r="HGD4" s="1"/>
      <c r="HGE4" s="1"/>
      <c r="HGF4" s="1"/>
      <c r="HGG4" s="1"/>
      <c r="HGH4" s="1"/>
      <c r="HGI4" s="1"/>
      <c r="HGJ4" s="1"/>
      <c r="HGK4" s="1"/>
      <c r="HGL4" s="1"/>
      <c r="HGM4" s="1"/>
      <c r="HGN4" s="1"/>
      <c r="HGO4" s="1"/>
      <c r="HGP4" s="1"/>
      <c r="HGQ4" s="1"/>
      <c r="HGR4" s="1"/>
      <c r="HGS4" s="1"/>
      <c r="HGT4" s="1"/>
      <c r="HGU4" s="1"/>
      <c r="HGV4" s="1"/>
      <c r="HGW4" s="1"/>
      <c r="HGX4" s="1"/>
      <c r="HGY4" s="1"/>
      <c r="HGZ4" s="1"/>
      <c r="HHA4" s="1"/>
      <c r="HHB4" s="1"/>
      <c r="HHC4" s="1"/>
      <c r="HHD4" s="1"/>
      <c r="HHE4" s="1"/>
      <c r="HHF4" s="1"/>
      <c r="HHG4" s="1"/>
      <c r="HHH4" s="1"/>
      <c r="HHI4" s="1"/>
      <c r="HHJ4" s="1"/>
      <c r="HHK4" s="1"/>
      <c r="HHL4" s="1"/>
      <c r="HHM4" s="1"/>
      <c r="HHN4" s="1"/>
      <c r="HHO4" s="1"/>
      <c r="HHP4" s="1"/>
      <c r="HHQ4" s="1"/>
      <c r="HHR4" s="1"/>
      <c r="HHS4" s="1"/>
      <c r="HHT4" s="1"/>
      <c r="HHU4" s="1"/>
      <c r="HHV4" s="1"/>
      <c r="HHW4" s="1"/>
      <c r="HHX4" s="1"/>
      <c r="HHY4" s="1"/>
      <c r="HHZ4" s="1"/>
      <c r="HIA4" s="1"/>
      <c r="HIB4" s="1"/>
      <c r="HIC4" s="1"/>
      <c r="HID4" s="1"/>
      <c r="HIE4" s="1"/>
      <c r="HIF4" s="1"/>
      <c r="HIG4" s="1"/>
      <c r="HIH4" s="1"/>
      <c r="HII4" s="1"/>
      <c r="HIJ4" s="1"/>
      <c r="HIK4" s="1"/>
      <c r="HIL4" s="1"/>
      <c r="HIM4" s="1"/>
      <c r="HIN4" s="1"/>
      <c r="HIO4" s="1"/>
      <c r="HIP4" s="1"/>
      <c r="HIQ4" s="1"/>
      <c r="HIR4" s="1"/>
      <c r="HIS4" s="1"/>
      <c r="HIT4" s="1"/>
      <c r="HIU4" s="1"/>
      <c r="HIV4" s="1"/>
      <c r="HIW4" s="1"/>
      <c r="HIX4" s="1"/>
      <c r="HIY4" s="1"/>
      <c r="HIZ4" s="1"/>
      <c r="HJA4" s="1"/>
      <c r="HJB4" s="1"/>
      <c r="HJC4" s="1"/>
      <c r="HJD4" s="1"/>
      <c r="HJE4" s="1"/>
      <c r="HJF4" s="1"/>
      <c r="HJG4" s="1"/>
      <c r="HJH4" s="1"/>
      <c r="HJI4" s="1"/>
      <c r="HJJ4" s="1"/>
      <c r="HJK4" s="1"/>
      <c r="HJL4" s="1"/>
      <c r="HJM4" s="1"/>
      <c r="HJN4" s="1"/>
      <c r="HJO4" s="1"/>
      <c r="HJP4" s="1"/>
      <c r="HJQ4" s="1"/>
      <c r="HJR4" s="1"/>
      <c r="HJS4" s="1"/>
      <c r="HJT4" s="1"/>
      <c r="HJU4" s="1"/>
      <c r="HJV4" s="1"/>
      <c r="HJW4" s="1"/>
      <c r="HJX4" s="1"/>
      <c r="HJY4" s="1"/>
      <c r="HJZ4" s="1"/>
      <c r="HKA4" s="1"/>
      <c r="HKB4" s="1"/>
      <c r="HKC4" s="1"/>
      <c r="HKD4" s="1"/>
      <c r="HKE4" s="1"/>
      <c r="HKF4" s="1"/>
      <c r="HKG4" s="1"/>
      <c r="HKH4" s="1"/>
      <c r="HKI4" s="1"/>
      <c r="HKJ4" s="1"/>
      <c r="HKK4" s="1"/>
      <c r="HKL4" s="1"/>
      <c r="HKM4" s="1"/>
      <c r="HKN4" s="1"/>
      <c r="HKO4" s="1"/>
      <c r="HKP4" s="1"/>
      <c r="HKQ4" s="1"/>
      <c r="HKR4" s="1"/>
      <c r="HKS4" s="1"/>
      <c r="HKT4" s="1"/>
      <c r="HKU4" s="1"/>
      <c r="HKV4" s="1"/>
      <c r="HKW4" s="1"/>
      <c r="HKX4" s="1"/>
      <c r="HKY4" s="1"/>
      <c r="HKZ4" s="1"/>
      <c r="HLA4" s="1"/>
      <c r="HLB4" s="1"/>
      <c r="HLC4" s="1"/>
      <c r="HLD4" s="1"/>
      <c r="HLE4" s="1"/>
      <c r="HLF4" s="1"/>
      <c r="HLG4" s="1"/>
      <c r="HLH4" s="1"/>
      <c r="HLI4" s="1"/>
      <c r="HLJ4" s="1"/>
      <c r="HLK4" s="1"/>
      <c r="HLL4" s="1"/>
      <c r="HLM4" s="1"/>
      <c r="HLN4" s="1"/>
      <c r="HLO4" s="1"/>
      <c r="HLP4" s="1"/>
      <c r="HLQ4" s="1"/>
      <c r="HLR4" s="1"/>
      <c r="HLS4" s="1"/>
      <c r="HLT4" s="1"/>
      <c r="HLU4" s="1"/>
      <c r="HLV4" s="1"/>
      <c r="HLW4" s="1"/>
      <c r="HLX4" s="1"/>
      <c r="HLY4" s="1"/>
      <c r="HLZ4" s="1"/>
      <c r="HMA4" s="1"/>
      <c r="HMB4" s="1"/>
      <c r="HMC4" s="1"/>
      <c r="HMD4" s="1"/>
      <c r="HME4" s="1"/>
      <c r="HMF4" s="1"/>
      <c r="HMG4" s="1"/>
      <c r="HMH4" s="1"/>
      <c r="HMI4" s="1"/>
      <c r="HMJ4" s="1"/>
      <c r="HMK4" s="1"/>
      <c r="HML4" s="1"/>
      <c r="HMM4" s="1"/>
      <c r="HMN4" s="1"/>
      <c r="HMO4" s="1"/>
      <c r="HMP4" s="1"/>
      <c r="HMQ4" s="1"/>
      <c r="HMR4" s="1"/>
      <c r="HMS4" s="1"/>
      <c r="HMT4" s="1"/>
      <c r="HMU4" s="1"/>
      <c r="HMV4" s="1"/>
      <c r="HMW4" s="1"/>
      <c r="HMX4" s="1"/>
      <c r="HMY4" s="1"/>
      <c r="HMZ4" s="1"/>
      <c r="HNA4" s="1"/>
      <c r="HNB4" s="1"/>
      <c r="HNC4" s="1"/>
      <c r="HND4" s="1"/>
      <c r="HNE4" s="1"/>
      <c r="HNF4" s="1"/>
      <c r="HNG4" s="1"/>
      <c r="HNH4" s="1"/>
      <c r="HNI4" s="1"/>
      <c r="HNJ4" s="1"/>
      <c r="HNK4" s="1"/>
      <c r="HNL4" s="1"/>
      <c r="HNM4" s="1"/>
      <c r="HNN4" s="1"/>
      <c r="HNO4" s="1"/>
      <c r="HNP4" s="1"/>
      <c r="HNQ4" s="1"/>
      <c r="HNR4" s="1"/>
      <c r="HNS4" s="1"/>
      <c r="HNT4" s="1"/>
      <c r="HNU4" s="1"/>
      <c r="HNV4" s="1"/>
      <c r="HNW4" s="1"/>
      <c r="HNX4" s="1"/>
      <c r="HNY4" s="1"/>
      <c r="HNZ4" s="1"/>
      <c r="HOA4" s="1"/>
      <c r="HOB4" s="1"/>
      <c r="HOC4" s="1"/>
      <c r="HOD4" s="1"/>
      <c r="HOE4" s="1"/>
      <c r="HOF4" s="1"/>
      <c r="HOG4" s="1"/>
      <c r="HOH4" s="1"/>
      <c r="HOI4" s="1"/>
      <c r="HOJ4" s="1"/>
      <c r="HOK4" s="1"/>
      <c r="HOL4" s="1"/>
      <c r="HOM4" s="1"/>
      <c r="HON4" s="1"/>
      <c r="HOO4" s="1"/>
      <c r="HOP4" s="1"/>
      <c r="HOQ4" s="1"/>
      <c r="HOR4" s="1"/>
      <c r="HOS4" s="1"/>
      <c r="HOT4" s="1"/>
      <c r="HOU4" s="1"/>
      <c r="HOV4" s="1"/>
      <c r="HOW4" s="1"/>
      <c r="HOX4" s="1"/>
      <c r="HOY4" s="1"/>
      <c r="HOZ4" s="1"/>
      <c r="HPA4" s="1"/>
      <c r="HPB4" s="1"/>
      <c r="HPC4" s="1"/>
      <c r="HPD4" s="1"/>
      <c r="HPE4" s="1"/>
      <c r="HPF4" s="1"/>
      <c r="HPG4" s="1"/>
      <c r="HPH4" s="1"/>
      <c r="HPI4" s="1"/>
      <c r="HPJ4" s="1"/>
      <c r="HPK4" s="1"/>
      <c r="HPL4" s="1"/>
      <c r="HPM4" s="1"/>
      <c r="HPN4" s="1"/>
      <c r="HPO4" s="1"/>
      <c r="HPP4" s="1"/>
      <c r="HPQ4" s="1"/>
      <c r="HPR4" s="1"/>
      <c r="HPS4" s="1"/>
      <c r="HPT4" s="1"/>
      <c r="HPU4" s="1"/>
      <c r="HPV4" s="1"/>
      <c r="HPW4" s="1"/>
      <c r="HPX4" s="1"/>
      <c r="HPY4" s="1"/>
      <c r="HPZ4" s="1"/>
      <c r="HQA4" s="1"/>
      <c r="HQB4" s="1"/>
      <c r="HQC4" s="1"/>
      <c r="HQD4" s="1"/>
      <c r="HQE4" s="1"/>
      <c r="HQF4" s="1"/>
      <c r="HQG4" s="1"/>
      <c r="HQH4" s="1"/>
      <c r="HQI4" s="1"/>
      <c r="HQJ4" s="1"/>
      <c r="HQK4" s="1"/>
      <c r="HQL4" s="1"/>
      <c r="HQM4" s="1"/>
      <c r="HQN4" s="1"/>
      <c r="HQO4" s="1"/>
      <c r="HQP4" s="1"/>
      <c r="HQQ4" s="1"/>
      <c r="HQR4" s="1"/>
      <c r="HQS4" s="1"/>
      <c r="HQT4" s="1"/>
      <c r="HQU4" s="1"/>
      <c r="HQV4" s="1"/>
      <c r="HQW4" s="1"/>
      <c r="HQX4" s="1"/>
      <c r="HQY4" s="1"/>
      <c r="HQZ4" s="1"/>
      <c r="HRA4" s="1"/>
      <c r="HRB4" s="1"/>
      <c r="HRC4" s="1"/>
      <c r="HRD4" s="1"/>
      <c r="HRE4" s="1"/>
      <c r="HRF4" s="1"/>
      <c r="HRG4" s="1"/>
      <c r="HRH4" s="1"/>
      <c r="HRI4" s="1"/>
      <c r="HRJ4" s="1"/>
      <c r="HRK4" s="1"/>
      <c r="HRL4" s="1"/>
      <c r="HRM4" s="1"/>
      <c r="HRN4" s="1"/>
      <c r="HRO4" s="1"/>
      <c r="HRP4" s="1"/>
      <c r="HRQ4" s="1"/>
      <c r="HRR4" s="1"/>
      <c r="HRS4" s="1"/>
      <c r="HRT4" s="1"/>
      <c r="HRU4" s="1"/>
      <c r="HRV4" s="1"/>
      <c r="HRW4" s="1"/>
      <c r="HRX4" s="1"/>
      <c r="HRY4" s="1"/>
      <c r="HRZ4" s="1"/>
      <c r="HSA4" s="1"/>
      <c r="HSB4" s="1"/>
      <c r="HSC4" s="1"/>
      <c r="HSD4" s="1"/>
      <c r="HSE4" s="1"/>
      <c r="HSF4" s="1"/>
      <c r="HSG4" s="1"/>
      <c r="HSH4" s="1"/>
      <c r="HSI4" s="1"/>
      <c r="HSJ4" s="1"/>
      <c r="HSK4" s="1"/>
      <c r="HSL4" s="1"/>
      <c r="HSM4" s="1"/>
      <c r="HSN4" s="1"/>
      <c r="HSO4" s="1"/>
      <c r="HSP4" s="1"/>
      <c r="HSQ4" s="1"/>
      <c r="HSR4" s="1"/>
      <c r="HSS4" s="1"/>
      <c r="HST4" s="1"/>
      <c r="HSU4" s="1"/>
      <c r="HSV4" s="1"/>
      <c r="HSW4" s="1"/>
      <c r="HSX4" s="1"/>
      <c r="HSY4" s="1"/>
      <c r="HSZ4" s="1"/>
      <c r="HTA4" s="1"/>
      <c r="HTB4" s="1"/>
      <c r="HTC4" s="1"/>
      <c r="HTD4" s="1"/>
      <c r="HTE4" s="1"/>
      <c r="HTF4" s="1"/>
      <c r="HTG4" s="1"/>
      <c r="HTH4" s="1"/>
      <c r="HTI4" s="1"/>
      <c r="HTJ4" s="1"/>
      <c r="HTK4" s="1"/>
      <c r="HTL4" s="1"/>
      <c r="HTM4" s="1"/>
      <c r="HTN4" s="1"/>
      <c r="HTO4" s="1"/>
      <c r="HTP4" s="1"/>
      <c r="HTQ4" s="1"/>
      <c r="HTR4" s="1"/>
      <c r="HTS4" s="1"/>
      <c r="HTT4" s="1"/>
      <c r="HTU4" s="1"/>
      <c r="HTV4" s="1"/>
      <c r="HTW4" s="1"/>
      <c r="HTX4" s="1"/>
      <c r="HTY4" s="1"/>
      <c r="HTZ4" s="1"/>
      <c r="HUA4" s="1"/>
      <c r="HUB4" s="1"/>
      <c r="HUC4" s="1"/>
      <c r="HUD4" s="1"/>
      <c r="HUE4" s="1"/>
      <c r="HUF4" s="1"/>
      <c r="HUG4" s="1"/>
      <c r="HUH4" s="1"/>
      <c r="HUI4" s="1"/>
      <c r="HUJ4" s="1"/>
      <c r="HUK4" s="1"/>
      <c r="HUL4" s="1"/>
      <c r="HUM4" s="1"/>
      <c r="HUN4" s="1"/>
      <c r="HUO4" s="1"/>
      <c r="HUP4" s="1"/>
      <c r="HUQ4" s="1"/>
      <c r="HUR4" s="1"/>
      <c r="HUS4" s="1"/>
      <c r="HUT4" s="1"/>
      <c r="HUU4" s="1"/>
      <c r="HUV4" s="1"/>
      <c r="HUW4" s="1"/>
      <c r="HUX4" s="1"/>
      <c r="HUY4" s="1"/>
      <c r="HUZ4" s="1"/>
      <c r="HVA4" s="1"/>
      <c r="HVB4" s="1"/>
      <c r="HVC4" s="1"/>
      <c r="HVD4" s="1"/>
      <c r="HVE4" s="1"/>
      <c r="HVF4" s="1"/>
      <c r="HVG4" s="1"/>
      <c r="HVH4" s="1"/>
      <c r="HVI4" s="1"/>
      <c r="HVJ4" s="1"/>
      <c r="HVK4" s="1"/>
      <c r="HVL4" s="1"/>
      <c r="HVM4" s="1"/>
      <c r="HVN4" s="1"/>
      <c r="HVO4" s="1"/>
      <c r="HVP4" s="1"/>
      <c r="HVQ4" s="1"/>
      <c r="HVR4" s="1"/>
      <c r="HVS4" s="1"/>
      <c r="HVT4" s="1"/>
      <c r="HVU4" s="1"/>
      <c r="HVV4" s="1"/>
      <c r="HVW4" s="1"/>
      <c r="HVX4" s="1"/>
      <c r="HVY4" s="1"/>
      <c r="HVZ4" s="1"/>
      <c r="HWA4" s="1"/>
      <c r="HWB4" s="1"/>
      <c r="HWC4" s="1"/>
      <c r="HWD4" s="1"/>
      <c r="HWE4" s="1"/>
      <c r="HWF4" s="1"/>
      <c r="HWG4" s="1"/>
      <c r="HWH4" s="1"/>
      <c r="HWI4" s="1"/>
      <c r="HWJ4" s="1"/>
      <c r="HWK4" s="1"/>
      <c r="HWL4" s="1"/>
      <c r="HWM4" s="1"/>
      <c r="HWN4" s="1"/>
      <c r="HWO4" s="1"/>
      <c r="HWP4" s="1"/>
      <c r="HWQ4" s="1"/>
      <c r="HWR4" s="1"/>
      <c r="HWS4" s="1"/>
      <c r="HWT4" s="1"/>
      <c r="HWU4" s="1"/>
      <c r="HWV4" s="1"/>
      <c r="HWW4" s="1"/>
      <c r="HWX4" s="1"/>
      <c r="HWY4" s="1"/>
      <c r="HWZ4" s="1"/>
      <c r="HXA4" s="1"/>
      <c r="HXB4" s="1"/>
      <c r="HXC4" s="1"/>
      <c r="HXD4" s="1"/>
      <c r="HXE4" s="1"/>
      <c r="HXF4" s="1"/>
      <c r="HXG4" s="1"/>
      <c r="HXH4" s="1"/>
      <c r="HXI4" s="1"/>
      <c r="HXJ4" s="1"/>
      <c r="HXK4" s="1"/>
      <c r="HXL4" s="1"/>
      <c r="HXM4" s="1"/>
      <c r="HXN4" s="1"/>
      <c r="HXO4" s="1"/>
      <c r="HXP4" s="1"/>
      <c r="HXQ4" s="1"/>
      <c r="HXR4" s="1"/>
      <c r="HXS4" s="1"/>
      <c r="HXT4" s="1"/>
      <c r="HXU4" s="1"/>
      <c r="HXV4" s="1"/>
      <c r="HXW4" s="1"/>
      <c r="HXX4" s="1"/>
      <c r="HXY4" s="1"/>
      <c r="HXZ4" s="1"/>
      <c r="HYA4" s="1"/>
      <c r="HYB4" s="1"/>
      <c r="HYC4" s="1"/>
      <c r="HYD4" s="1"/>
      <c r="HYE4" s="1"/>
      <c r="HYF4" s="1"/>
      <c r="HYG4" s="1"/>
      <c r="HYH4" s="1"/>
      <c r="HYI4" s="1"/>
      <c r="HYJ4" s="1"/>
      <c r="HYK4" s="1"/>
      <c r="HYL4" s="1"/>
      <c r="HYM4" s="1"/>
      <c r="HYN4" s="1"/>
      <c r="HYO4" s="1"/>
      <c r="HYP4" s="1"/>
      <c r="HYQ4" s="1"/>
      <c r="HYR4" s="1"/>
      <c r="HYS4" s="1"/>
      <c r="HYT4" s="1"/>
      <c r="HYU4" s="1"/>
      <c r="HYV4" s="1"/>
      <c r="HYW4" s="1"/>
      <c r="HYX4" s="1"/>
      <c r="HYY4" s="1"/>
      <c r="HYZ4" s="1"/>
      <c r="HZA4" s="1"/>
      <c r="HZB4" s="1"/>
      <c r="HZC4" s="1"/>
      <c r="HZD4" s="1"/>
      <c r="HZE4" s="1"/>
      <c r="HZF4" s="1"/>
      <c r="HZG4" s="1"/>
      <c r="HZH4" s="1"/>
      <c r="HZI4" s="1"/>
      <c r="HZJ4" s="1"/>
      <c r="HZK4" s="1"/>
      <c r="HZL4" s="1"/>
      <c r="HZM4" s="1"/>
      <c r="HZN4" s="1"/>
      <c r="HZO4" s="1"/>
      <c r="HZP4" s="1"/>
      <c r="HZQ4" s="1"/>
      <c r="HZR4" s="1"/>
      <c r="HZS4" s="1"/>
      <c r="HZT4" s="1"/>
      <c r="HZU4" s="1"/>
      <c r="HZV4" s="1"/>
      <c r="HZW4" s="1"/>
      <c r="HZX4" s="1"/>
      <c r="HZY4" s="1"/>
      <c r="HZZ4" s="1"/>
      <c r="IAA4" s="1"/>
      <c r="IAB4" s="1"/>
      <c r="IAC4" s="1"/>
      <c r="IAD4" s="1"/>
      <c r="IAE4" s="1"/>
      <c r="IAF4" s="1"/>
      <c r="IAG4" s="1"/>
      <c r="IAH4" s="1"/>
      <c r="IAI4" s="1"/>
      <c r="IAJ4" s="1"/>
      <c r="IAK4" s="1"/>
      <c r="IAL4" s="1"/>
      <c r="IAM4" s="1"/>
      <c r="IAN4" s="1"/>
      <c r="IAO4" s="1"/>
      <c r="IAP4" s="1"/>
      <c r="IAQ4" s="1"/>
      <c r="IAR4" s="1"/>
      <c r="IAS4" s="1"/>
      <c r="IAT4" s="1"/>
      <c r="IAU4" s="1"/>
      <c r="IAV4" s="1"/>
      <c r="IAW4" s="1"/>
      <c r="IAX4" s="1"/>
      <c r="IAY4" s="1"/>
      <c r="IAZ4" s="1"/>
      <c r="IBA4" s="1"/>
      <c r="IBB4" s="1"/>
      <c r="IBC4" s="1"/>
      <c r="IBD4" s="1"/>
      <c r="IBE4" s="1"/>
      <c r="IBF4" s="1"/>
      <c r="IBG4" s="1"/>
      <c r="IBH4" s="1"/>
      <c r="IBI4" s="1"/>
      <c r="IBJ4" s="1"/>
      <c r="IBK4" s="1"/>
      <c r="IBL4" s="1"/>
      <c r="IBM4" s="1"/>
      <c r="IBN4" s="1"/>
      <c r="IBO4" s="1"/>
      <c r="IBP4" s="1"/>
      <c r="IBQ4" s="1"/>
      <c r="IBR4" s="1"/>
      <c r="IBS4" s="1"/>
      <c r="IBT4" s="1"/>
      <c r="IBU4" s="1"/>
      <c r="IBV4" s="1"/>
      <c r="IBW4" s="1"/>
      <c r="IBX4" s="1"/>
      <c r="IBY4" s="1"/>
      <c r="IBZ4" s="1"/>
      <c r="ICA4" s="1"/>
      <c r="ICB4" s="1"/>
      <c r="ICC4" s="1"/>
      <c r="ICD4" s="1"/>
      <c r="ICE4" s="1"/>
      <c r="ICF4" s="1"/>
      <c r="ICG4" s="1"/>
      <c r="ICH4" s="1"/>
      <c r="ICI4" s="1"/>
      <c r="ICJ4" s="1"/>
      <c r="ICK4" s="1"/>
      <c r="ICL4" s="1"/>
      <c r="ICM4" s="1"/>
      <c r="ICN4" s="1"/>
      <c r="ICO4" s="1"/>
      <c r="ICP4" s="1"/>
      <c r="ICQ4" s="1"/>
      <c r="ICR4" s="1"/>
      <c r="ICS4" s="1"/>
      <c r="ICT4" s="1"/>
      <c r="ICU4" s="1"/>
      <c r="ICV4" s="1"/>
      <c r="ICW4" s="1"/>
      <c r="ICX4" s="1"/>
      <c r="ICY4" s="1"/>
      <c r="ICZ4" s="1"/>
      <c r="IDA4" s="1"/>
      <c r="IDB4" s="1"/>
      <c r="IDC4" s="1"/>
      <c r="IDD4" s="1"/>
      <c r="IDE4" s="1"/>
      <c r="IDF4" s="1"/>
      <c r="IDG4" s="1"/>
      <c r="IDH4" s="1"/>
      <c r="IDI4" s="1"/>
      <c r="IDJ4" s="1"/>
      <c r="IDK4" s="1"/>
      <c r="IDL4" s="1"/>
      <c r="IDM4" s="1"/>
      <c r="IDN4" s="1"/>
      <c r="IDO4" s="1"/>
      <c r="IDP4" s="1"/>
      <c r="IDQ4" s="1"/>
      <c r="IDR4" s="1"/>
      <c r="IDS4" s="1"/>
      <c r="IDT4" s="1"/>
      <c r="IDU4" s="1"/>
      <c r="IDV4" s="1"/>
      <c r="IDW4" s="1"/>
      <c r="IDX4" s="1"/>
      <c r="IDY4" s="1"/>
      <c r="IDZ4" s="1"/>
      <c r="IEA4" s="1"/>
      <c r="IEB4" s="1"/>
      <c r="IEC4" s="1"/>
      <c r="IED4" s="1"/>
      <c r="IEE4" s="1"/>
      <c r="IEF4" s="1"/>
      <c r="IEG4" s="1"/>
      <c r="IEH4" s="1"/>
      <c r="IEI4" s="1"/>
      <c r="IEJ4" s="1"/>
      <c r="IEK4" s="1"/>
      <c r="IEL4" s="1"/>
      <c r="IEM4" s="1"/>
      <c r="IEN4" s="1"/>
      <c r="IEO4" s="1"/>
      <c r="IEP4" s="1"/>
      <c r="IEQ4" s="1"/>
      <c r="IER4" s="1"/>
      <c r="IES4" s="1"/>
      <c r="IET4" s="1"/>
      <c r="IEU4" s="1"/>
      <c r="IEV4" s="1"/>
      <c r="IEW4" s="1"/>
      <c r="IEX4" s="1"/>
      <c r="IEY4" s="1"/>
      <c r="IEZ4" s="1"/>
      <c r="IFA4" s="1"/>
      <c r="IFB4" s="1"/>
      <c r="IFC4" s="1"/>
      <c r="IFD4" s="1"/>
      <c r="IFE4" s="1"/>
      <c r="IFF4" s="1"/>
      <c r="IFG4" s="1"/>
      <c r="IFH4" s="1"/>
      <c r="IFI4" s="1"/>
      <c r="IFJ4" s="1"/>
      <c r="IFK4" s="1"/>
      <c r="IFL4" s="1"/>
      <c r="IFM4" s="1"/>
      <c r="IFN4" s="1"/>
      <c r="IFO4" s="1"/>
      <c r="IFP4" s="1"/>
      <c r="IFQ4" s="1"/>
      <c r="IFR4" s="1"/>
      <c r="IFS4" s="1"/>
      <c r="IFT4" s="1"/>
      <c r="IFU4" s="1"/>
      <c r="IFV4" s="1"/>
      <c r="IFW4" s="1"/>
      <c r="IFX4" s="1"/>
      <c r="IFY4" s="1"/>
      <c r="IFZ4" s="1"/>
      <c r="IGA4" s="1"/>
      <c r="IGB4" s="1"/>
      <c r="IGC4" s="1"/>
      <c r="IGD4" s="1"/>
      <c r="IGE4" s="1"/>
      <c r="IGF4" s="1"/>
      <c r="IGG4" s="1"/>
      <c r="IGH4" s="1"/>
      <c r="IGI4" s="1"/>
      <c r="IGJ4" s="1"/>
      <c r="IGK4" s="1"/>
      <c r="IGL4" s="1"/>
      <c r="IGM4" s="1"/>
      <c r="IGN4" s="1"/>
      <c r="IGO4" s="1"/>
      <c r="IGP4" s="1"/>
      <c r="IGQ4" s="1"/>
      <c r="IGR4" s="1"/>
      <c r="IGS4" s="1"/>
      <c r="IGT4" s="1"/>
      <c r="IGU4" s="1"/>
      <c r="IGV4" s="1"/>
      <c r="IGW4" s="1"/>
      <c r="IGX4" s="1"/>
      <c r="IGY4" s="1"/>
      <c r="IGZ4" s="1"/>
      <c r="IHA4" s="1"/>
      <c r="IHB4" s="1"/>
      <c r="IHC4" s="1"/>
      <c r="IHD4" s="1"/>
      <c r="IHE4" s="1"/>
      <c r="IHF4" s="1"/>
      <c r="IHG4" s="1"/>
      <c r="IHH4" s="1"/>
      <c r="IHI4" s="1"/>
      <c r="IHJ4" s="1"/>
      <c r="IHK4" s="1"/>
      <c r="IHL4" s="1"/>
      <c r="IHM4" s="1"/>
      <c r="IHN4" s="1"/>
      <c r="IHO4" s="1"/>
      <c r="IHP4" s="1"/>
      <c r="IHQ4" s="1"/>
      <c r="IHR4" s="1"/>
      <c r="IHS4" s="1"/>
      <c r="IHT4" s="1"/>
      <c r="IHU4" s="1"/>
      <c r="IHV4" s="1"/>
      <c r="IHW4" s="1"/>
      <c r="IHX4" s="1"/>
      <c r="IHY4" s="1"/>
      <c r="IHZ4" s="1"/>
      <c r="IIA4" s="1"/>
      <c r="IIB4" s="1"/>
      <c r="IIC4" s="1"/>
      <c r="IID4" s="1"/>
      <c r="IIE4" s="1"/>
      <c r="IIF4" s="1"/>
      <c r="IIG4" s="1"/>
      <c r="IIH4" s="1"/>
      <c r="III4" s="1"/>
      <c r="IIJ4" s="1"/>
      <c r="IIK4" s="1"/>
      <c r="IIL4" s="1"/>
      <c r="IIM4" s="1"/>
      <c r="IIN4" s="1"/>
      <c r="IIO4" s="1"/>
      <c r="IIP4" s="1"/>
      <c r="IIQ4" s="1"/>
      <c r="IIR4" s="1"/>
      <c r="IIS4" s="1"/>
      <c r="IIT4" s="1"/>
      <c r="IIU4" s="1"/>
      <c r="IIV4" s="1"/>
      <c r="IIW4" s="1"/>
      <c r="IIX4" s="1"/>
      <c r="IIY4" s="1"/>
      <c r="IIZ4" s="1"/>
      <c r="IJA4" s="1"/>
      <c r="IJB4" s="1"/>
      <c r="IJC4" s="1"/>
      <c r="IJD4" s="1"/>
      <c r="IJE4" s="1"/>
      <c r="IJF4" s="1"/>
      <c r="IJG4" s="1"/>
      <c r="IJH4" s="1"/>
      <c r="IJI4" s="1"/>
      <c r="IJJ4" s="1"/>
      <c r="IJK4" s="1"/>
      <c r="IJL4" s="1"/>
      <c r="IJM4" s="1"/>
      <c r="IJN4" s="1"/>
      <c r="IJO4" s="1"/>
      <c r="IJP4" s="1"/>
      <c r="IJQ4" s="1"/>
      <c r="IJR4" s="1"/>
      <c r="IJS4" s="1"/>
      <c r="IJT4" s="1"/>
      <c r="IJU4" s="1"/>
      <c r="IJV4" s="1"/>
      <c r="IJW4" s="1"/>
      <c r="IJX4" s="1"/>
      <c r="IJY4" s="1"/>
      <c r="IJZ4" s="1"/>
      <c r="IKA4" s="1"/>
      <c r="IKB4" s="1"/>
      <c r="IKC4" s="1"/>
      <c r="IKD4" s="1"/>
      <c r="IKE4" s="1"/>
      <c r="IKF4" s="1"/>
      <c r="IKG4" s="1"/>
      <c r="IKH4" s="1"/>
      <c r="IKI4" s="1"/>
      <c r="IKJ4" s="1"/>
      <c r="IKK4" s="1"/>
      <c r="IKL4" s="1"/>
      <c r="IKM4" s="1"/>
      <c r="IKN4" s="1"/>
      <c r="IKO4" s="1"/>
      <c r="IKP4" s="1"/>
      <c r="IKQ4" s="1"/>
      <c r="IKR4" s="1"/>
      <c r="IKS4" s="1"/>
      <c r="IKT4" s="1"/>
      <c r="IKU4" s="1"/>
      <c r="IKV4" s="1"/>
      <c r="IKW4" s="1"/>
      <c r="IKX4" s="1"/>
      <c r="IKY4" s="1"/>
      <c r="IKZ4" s="1"/>
      <c r="ILA4" s="1"/>
      <c r="ILB4" s="1"/>
      <c r="ILC4" s="1"/>
      <c r="ILD4" s="1"/>
      <c r="ILE4" s="1"/>
      <c r="ILF4" s="1"/>
      <c r="ILG4" s="1"/>
      <c r="ILH4" s="1"/>
      <c r="ILI4" s="1"/>
      <c r="ILJ4" s="1"/>
      <c r="ILK4" s="1"/>
      <c r="ILL4" s="1"/>
      <c r="ILM4" s="1"/>
      <c r="ILN4" s="1"/>
      <c r="ILO4" s="1"/>
      <c r="ILP4" s="1"/>
      <c r="ILQ4" s="1"/>
      <c r="ILR4" s="1"/>
      <c r="ILS4" s="1"/>
      <c r="ILT4" s="1"/>
      <c r="ILU4" s="1"/>
      <c r="ILV4" s="1"/>
      <c r="ILW4" s="1"/>
      <c r="ILX4" s="1"/>
      <c r="ILY4" s="1"/>
      <c r="ILZ4" s="1"/>
      <c r="IMA4" s="1"/>
      <c r="IMB4" s="1"/>
      <c r="IMC4" s="1"/>
      <c r="IMD4" s="1"/>
      <c r="IME4" s="1"/>
      <c r="IMF4" s="1"/>
      <c r="IMG4" s="1"/>
      <c r="IMH4" s="1"/>
      <c r="IMI4" s="1"/>
      <c r="IMJ4" s="1"/>
      <c r="IMK4" s="1"/>
      <c r="IML4" s="1"/>
      <c r="IMM4" s="1"/>
      <c r="IMN4" s="1"/>
      <c r="IMO4" s="1"/>
      <c r="IMP4" s="1"/>
      <c r="IMQ4" s="1"/>
      <c r="IMR4" s="1"/>
      <c r="IMS4" s="1"/>
      <c r="IMT4" s="1"/>
      <c r="IMU4" s="1"/>
      <c r="IMV4" s="1"/>
      <c r="IMW4" s="1"/>
      <c r="IMX4" s="1"/>
      <c r="IMY4" s="1"/>
      <c r="IMZ4" s="1"/>
      <c r="INA4" s="1"/>
      <c r="INB4" s="1"/>
      <c r="INC4" s="1"/>
      <c r="IND4" s="1"/>
      <c r="INE4" s="1"/>
      <c r="INF4" s="1"/>
      <c r="ING4" s="1"/>
      <c r="INH4" s="1"/>
      <c r="INI4" s="1"/>
      <c r="INJ4" s="1"/>
      <c r="INK4" s="1"/>
      <c r="INL4" s="1"/>
      <c r="INM4" s="1"/>
      <c r="INN4" s="1"/>
      <c r="INO4" s="1"/>
      <c r="INP4" s="1"/>
      <c r="INQ4" s="1"/>
      <c r="INR4" s="1"/>
      <c r="INS4" s="1"/>
      <c r="INT4" s="1"/>
      <c r="INU4" s="1"/>
      <c r="INV4" s="1"/>
      <c r="INW4" s="1"/>
      <c r="INX4" s="1"/>
      <c r="INY4" s="1"/>
      <c r="INZ4" s="1"/>
      <c r="IOA4" s="1"/>
      <c r="IOB4" s="1"/>
      <c r="IOC4" s="1"/>
      <c r="IOD4" s="1"/>
      <c r="IOE4" s="1"/>
      <c r="IOF4" s="1"/>
      <c r="IOG4" s="1"/>
      <c r="IOH4" s="1"/>
      <c r="IOI4" s="1"/>
      <c r="IOJ4" s="1"/>
      <c r="IOK4" s="1"/>
      <c r="IOL4" s="1"/>
      <c r="IOM4" s="1"/>
      <c r="ION4" s="1"/>
      <c r="IOO4" s="1"/>
      <c r="IOP4" s="1"/>
      <c r="IOQ4" s="1"/>
      <c r="IOR4" s="1"/>
      <c r="IOS4" s="1"/>
      <c r="IOT4" s="1"/>
      <c r="IOU4" s="1"/>
      <c r="IOV4" s="1"/>
      <c r="IOW4" s="1"/>
      <c r="IOX4" s="1"/>
      <c r="IOY4" s="1"/>
      <c r="IOZ4" s="1"/>
      <c r="IPA4" s="1"/>
      <c r="IPB4" s="1"/>
      <c r="IPC4" s="1"/>
      <c r="IPD4" s="1"/>
      <c r="IPE4" s="1"/>
      <c r="IPF4" s="1"/>
      <c r="IPG4" s="1"/>
      <c r="IPH4" s="1"/>
      <c r="IPI4" s="1"/>
      <c r="IPJ4" s="1"/>
      <c r="IPK4" s="1"/>
      <c r="IPL4" s="1"/>
      <c r="IPM4" s="1"/>
      <c r="IPN4" s="1"/>
      <c r="IPO4" s="1"/>
      <c r="IPP4" s="1"/>
      <c r="IPQ4" s="1"/>
      <c r="IPR4" s="1"/>
      <c r="IPS4" s="1"/>
      <c r="IPT4" s="1"/>
      <c r="IPU4" s="1"/>
      <c r="IPV4" s="1"/>
      <c r="IPW4" s="1"/>
      <c r="IPX4" s="1"/>
      <c r="IPY4" s="1"/>
      <c r="IPZ4" s="1"/>
      <c r="IQA4" s="1"/>
      <c r="IQB4" s="1"/>
      <c r="IQC4" s="1"/>
      <c r="IQD4" s="1"/>
      <c r="IQE4" s="1"/>
      <c r="IQF4" s="1"/>
      <c r="IQG4" s="1"/>
      <c r="IQH4" s="1"/>
      <c r="IQI4" s="1"/>
      <c r="IQJ4" s="1"/>
      <c r="IQK4" s="1"/>
      <c r="IQL4" s="1"/>
      <c r="IQM4" s="1"/>
      <c r="IQN4" s="1"/>
      <c r="IQO4" s="1"/>
      <c r="IQP4" s="1"/>
      <c r="IQQ4" s="1"/>
      <c r="IQR4" s="1"/>
      <c r="IQS4" s="1"/>
      <c r="IQT4" s="1"/>
      <c r="IQU4" s="1"/>
      <c r="IQV4" s="1"/>
      <c r="IQW4" s="1"/>
      <c r="IQX4" s="1"/>
      <c r="IQY4" s="1"/>
      <c r="IQZ4" s="1"/>
      <c r="IRA4" s="1"/>
      <c r="IRB4" s="1"/>
      <c r="IRC4" s="1"/>
      <c r="IRD4" s="1"/>
      <c r="IRE4" s="1"/>
      <c r="IRF4" s="1"/>
      <c r="IRG4" s="1"/>
      <c r="IRH4" s="1"/>
      <c r="IRI4" s="1"/>
      <c r="IRJ4" s="1"/>
      <c r="IRK4" s="1"/>
      <c r="IRL4" s="1"/>
      <c r="IRM4" s="1"/>
      <c r="IRN4" s="1"/>
      <c r="IRO4" s="1"/>
      <c r="IRP4" s="1"/>
      <c r="IRQ4" s="1"/>
      <c r="IRR4" s="1"/>
      <c r="IRS4" s="1"/>
      <c r="IRT4" s="1"/>
      <c r="IRU4" s="1"/>
      <c r="IRV4" s="1"/>
      <c r="IRW4" s="1"/>
      <c r="IRX4" s="1"/>
      <c r="IRY4" s="1"/>
      <c r="IRZ4" s="1"/>
      <c r="ISA4" s="1"/>
      <c r="ISB4" s="1"/>
      <c r="ISC4" s="1"/>
      <c r="ISD4" s="1"/>
      <c r="ISE4" s="1"/>
      <c r="ISF4" s="1"/>
      <c r="ISG4" s="1"/>
      <c r="ISH4" s="1"/>
      <c r="ISI4" s="1"/>
      <c r="ISJ4" s="1"/>
      <c r="ISK4" s="1"/>
      <c r="ISL4" s="1"/>
      <c r="ISM4" s="1"/>
      <c r="ISN4" s="1"/>
      <c r="ISO4" s="1"/>
      <c r="ISP4" s="1"/>
      <c r="ISQ4" s="1"/>
      <c r="ISR4" s="1"/>
      <c r="ISS4" s="1"/>
      <c r="IST4" s="1"/>
      <c r="ISU4" s="1"/>
      <c r="ISV4" s="1"/>
      <c r="ISW4" s="1"/>
      <c r="ISX4" s="1"/>
      <c r="ISY4" s="1"/>
      <c r="ISZ4" s="1"/>
      <c r="ITA4" s="1"/>
      <c r="ITB4" s="1"/>
      <c r="ITC4" s="1"/>
      <c r="ITD4" s="1"/>
      <c r="ITE4" s="1"/>
      <c r="ITF4" s="1"/>
      <c r="ITG4" s="1"/>
      <c r="ITH4" s="1"/>
      <c r="ITI4" s="1"/>
      <c r="ITJ4" s="1"/>
      <c r="ITK4" s="1"/>
      <c r="ITL4" s="1"/>
      <c r="ITM4" s="1"/>
      <c r="ITN4" s="1"/>
      <c r="ITO4" s="1"/>
      <c r="ITP4" s="1"/>
      <c r="ITQ4" s="1"/>
      <c r="ITR4" s="1"/>
      <c r="ITS4" s="1"/>
      <c r="ITT4" s="1"/>
      <c r="ITU4" s="1"/>
      <c r="ITV4" s="1"/>
      <c r="ITW4" s="1"/>
      <c r="ITX4" s="1"/>
      <c r="ITY4" s="1"/>
      <c r="ITZ4" s="1"/>
      <c r="IUA4" s="1"/>
      <c r="IUB4" s="1"/>
      <c r="IUC4" s="1"/>
      <c r="IUD4" s="1"/>
      <c r="IUE4" s="1"/>
      <c r="IUF4" s="1"/>
      <c r="IUG4" s="1"/>
      <c r="IUH4" s="1"/>
      <c r="IUI4" s="1"/>
      <c r="IUJ4" s="1"/>
      <c r="IUK4" s="1"/>
      <c r="IUL4" s="1"/>
      <c r="IUM4" s="1"/>
      <c r="IUN4" s="1"/>
      <c r="IUO4" s="1"/>
      <c r="IUP4" s="1"/>
      <c r="IUQ4" s="1"/>
      <c r="IUR4" s="1"/>
      <c r="IUS4" s="1"/>
      <c r="IUT4" s="1"/>
      <c r="IUU4" s="1"/>
      <c r="IUV4" s="1"/>
      <c r="IUW4" s="1"/>
      <c r="IUX4" s="1"/>
      <c r="IUY4" s="1"/>
      <c r="IUZ4" s="1"/>
      <c r="IVA4" s="1"/>
      <c r="IVB4" s="1"/>
      <c r="IVC4" s="1"/>
      <c r="IVD4" s="1"/>
      <c r="IVE4" s="1"/>
      <c r="IVF4" s="1"/>
      <c r="IVG4" s="1"/>
      <c r="IVH4" s="1"/>
      <c r="IVI4" s="1"/>
      <c r="IVJ4" s="1"/>
      <c r="IVK4" s="1"/>
      <c r="IVL4" s="1"/>
      <c r="IVM4" s="1"/>
      <c r="IVN4" s="1"/>
      <c r="IVO4" s="1"/>
      <c r="IVP4" s="1"/>
      <c r="IVQ4" s="1"/>
      <c r="IVR4" s="1"/>
      <c r="IVS4" s="1"/>
      <c r="IVT4" s="1"/>
      <c r="IVU4" s="1"/>
      <c r="IVV4" s="1"/>
      <c r="IVW4" s="1"/>
      <c r="IVX4" s="1"/>
      <c r="IVY4" s="1"/>
      <c r="IVZ4" s="1"/>
      <c r="IWA4" s="1"/>
      <c r="IWB4" s="1"/>
      <c r="IWC4" s="1"/>
      <c r="IWD4" s="1"/>
      <c r="IWE4" s="1"/>
      <c r="IWF4" s="1"/>
      <c r="IWG4" s="1"/>
      <c r="IWH4" s="1"/>
      <c r="IWI4" s="1"/>
      <c r="IWJ4" s="1"/>
      <c r="IWK4" s="1"/>
      <c r="IWL4" s="1"/>
      <c r="IWM4" s="1"/>
      <c r="IWN4" s="1"/>
      <c r="IWO4" s="1"/>
      <c r="IWP4" s="1"/>
      <c r="IWQ4" s="1"/>
      <c r="IWR4" s="1"/>
      <c r="IWS4" s="1"/>
      <c r="IWT4" s="1"/>
      <c r="IWU4" s="1"/>
      <c r="IWV4" s="1"/>
      <c r="IWW4" s="1"/>
      <c r="IWX4" s="1"/>
      <c r="IWY4" s="1"/>
      <c r="IWZ4" s="1"/>
      <c r="IXA4" s="1"/>
      <c r="IXB4" s="1"/>
      <c r="IXC4" s="1"/>
      <c r="IXD4" s="1"/>
      <c r="IXE4" s="1"/>
      <c r="IXF4" s="1"/>
      <c r="IXG4" s="1"/>
      <c r="IXH4" s="1"/>
      <c r="IXI4" s="1"/>
      <c r="IXJ4" s="1"/>
      <c r="IXK4" s="1"/>
      <c r="IXL4" s="1"/>
      <c r="IXM4" s="1"/>
      <c r="IXN4" s="1"/>
      <c r="IXO4" s="1"/>
      <c r="IXP4" s="1"/>
      <c r="IXQ4" s="1"/>
      <c r="IXR4" s="1"/>
      <c r="IXS4" s="1"/>
      <c r="IXT4" s="1"/>
      <c r="IXU4" s="1"/>
      <c r="IXV4" s="1"/>
      <c r="IXW4" s="1"/>
      <c r="IXX4" s="1"/>
      <c r="IXY4" s="1"/>
      <c r="IXZ4" s="1"/>
      <c r="IYA4" s="1"/>
      <c r="IYB4" s="1"/>
      <c r="IYC4" s="1"/>
      <c r="IYD4" s="1"/>
      <c r="IYE4" s="1"/>
      <c r="IYF4" s="1"/>
      <c r="IYG4" s="1"/>
      <c r="IYH4" s="1"/>
      <c r="IYI4" s="1"/>
      <c r="IYJ4" s="1"/>
      <c r="IYK4" s="1"/>
      <c r="IYL4" s="1"/>
      <c r="IYM4" s="1"/>
      <c r="IYN4" s="1"/>
      <c r="IYO4" s="1"/>
      <c r="IYP4" s="1"/>
      <c r="IYQ4" s="1"/>
      <c r="IYR4" s="1"/>
      <c r="IYS4" s="1"/>
      <c r="IYT4" s="1"/>
      <c r="IYU4" s="1"/>
      <c r="IYV4" s="1"/>
      <c r="IYW4" s="1"/>
      <c r="IYX4" s="1"/>
      <c r="IYY4" s="1"/>
      <c r="IYZ4" s="1"/>
      <c r="IZA4" s="1"/>
      <c r="IZB4" s="1"/>
      <c r="IZC4" s="1"/>
      <c r="IZD4" s="1"/>
      <c r="IZE4" s="1"/>
      <c r="IZF4" s="1"/>
      <c r="IZG4" s="1"/>
      <c r="IZH4" s="1"/>
      <c r="IZI4" s="1"/>
      <c r="IZJ4" s="1"/>
      <c r="IZK4" s="1"/>
      <c r="IZL4" s="1"/>
      <c r="IZM4" s="1"/>
      <c r="IZN4" s="1"/>
      <c r="IZO4" s="1"/>
      <c r="IZP4" s="1"/>
      <c r="IZQ4" s="1"/>
      <c r="IZR4" s="1"/>
      <c r="IZS4" s="1"/>
      <c r="IZT4" s="1"/>
      <c r="IZU4" s="1"/>
      <c r="IZV4" s="1"/>
      <c r="IZW4" s="1"/>
      <c r="IZX4" s="1"/>
      <c r="IZY4" s="1"/>
      <c r="IZZ4" s="1"/>
      <c r="JAA4" s="1"/>
      <c r="JAB4" s="1"/>
      <c r="JAC4" s="1"/>
      <c r="JAD4" s="1"/>
      <c r="JAE4" s="1"/>
      <c r="JAF4" s="1"/>
      <c r="JAG4" s="1"/>
      <c r="JAH4" s="1"/>
      <c r="JAI4" s="1"/>
      <c r="JAJ4" s="1"/>
      <c r="JAK4" s="1"/>
      <c r="JAL4" s="1"/>
      <c r="JAM4" s="1"/>
      <c r="JAN4" s="1"/>
      <c r="JAO4" s="1"/>
      <c r="JAP4" s="1"/>
      <c r="JAQ4" s="1"/>
      <c r="JAR4" s="1"/>
      <c r="JAS4" s="1"/>
      <c r="JAT4" s="1"/>
      <c r="JAU4" s="1"/>
      <c r="JAV4" s="1"/>
      <c r="JAW4" s="1"/>
      <c r="JAX4" s="1"/>
      <c r="JAY4" s="1"/>
      <c r="JAZ4" s="1"/>
      <c r="JBA4" s="1"/>
      <c r="JBB4" s="1"/>
      <c r="JBC4" s="1"/>
      <c r="JBD4" s="1"/>
      <c r="JBE4" s="1"/>
      <c r="JBF4" s="1"/>
      <c r="JBG4" s="1"/>
      <c r="JBH4" s="1"/>
      <c r="JBI4" s="1"/>
      <c r="JBJ4" s="1"/>
      <c r="JBK4" s="1"/>
      <c r="JBL4" s="1"/>
      <c r="JBM4" s="1"/>
      <c r="JBN4" s="1"/>
      <c r="JBO4" s="1"/>
      <c r="JBP4" s="1"/>
      <c r="JBQ4" s="1"/>
      <c r="JBR4" s="1"/>
      <c r="JBS4" s="1"/>
      <c r="JBT4" s="1"/>
      <c r="JBU4" s="1"/>
      <c r="JBV4" s="1"/>
      <c r="JBW4" s="1"/>
      <c r="JBX4" s="1"/>
      <c r="JBY4" s="1"/>
      <c r="JBZ4" s="1"/>
      <c r="JCA4" s="1"/>
      <c r="JCB4" s="1"/>
      <c r="JCC4" s="1"/>
      <c r="JCD4" s="1"/>
      <c r="JCE4" s="1"/>
      <c r="JCF4" s="1"/>
      <c r="JCG4" s="1"/>
      <c r="JCH4" s="1"/>
      <c r="JCI4" s="1"/>
      <c r="JCJ4" s="1"/>
      <c r="JCK4" s="1"/>
      <c r="JCL4" s="1"/>
      <c r="JCM4" s="1"/>
      <c r="JCN4" s="1"/>
      <c r="JCO4" s="1"/>
      <c r="JCP4" s="1"/>
      <c r="JCQ4" s="1"/>
      <c r="JCR4" s="1"/>
      <c r="JCS4" s="1"/>
      <c r="JCT4" s="1"/>
      <c r="JCU4" s="1"/>
      <c r="JCV4" s="1"/>
      <c r="JCW4" s="1"/>
      <c r="JCX4" s="1"/>
      <c r="JCY4" s="1"/>
      <c r="JCZ4" s="1"/>
      <c r="JDA4" s="1"/>
      <c r="JDB4" s="1"/>
      <c r="JDC4" s="1"/>
      <c r="JDD4" s="1"/>
      <c r="JDE4" s="1"/>
      <c r="JDF4" s="1"/>
      <c r="JDG4" s="1"/>
      <c r="JDH4" s="1"/>
      <c r="JDI4" s="1"/>
      <c r="JDJ4" s="1"/>
      <c r="JDK4" s="1"/>
      <c r="JDL4" s="1"/>
      <c r="JDM4" s="1"/>
      <c r="JDN4" s="1"/>
      <c r="JDO4" s="1"/>
      <c r="JDP4" s="1"/>
      <c r="JDQ4" s="1"/>
      <c r="JDR4" s="1"/>
      <c r="JDS4" s="1"/>
      <c r="JDT4" s="1"/>
      <c r="JDU4" s="1"/>
      <c r="JDV4" s="1"/>
      <c r="JDW4" s="1"/>
      <c r="JDX4" s="1"/>
      <c r="JDY4" s="1"/>
      <c r="JDZ4" s="1"/>
      <c r="JEA4" s="1"/>
      <c r="JEB4" s="1"/>
      <c r="JEC4" s="1"/>
      <c r="JED4" s="1"/>
      <c r="JEE4" s="1"/>
      <c r="JEF4" s="1"/>
      <c r="JEG4" s="1"/>
      <c r="JEH4" s="1"/>
      <c r="JEI4" s="1"/>
      <c r="JEJ4" s="1"/>
      <c r="JEK4" s="1"/>
      <c r="JEL4" s="1"/>
      <c r="JEM4" s="1"/>
      <c r="JEN4" s="1"/>
      <c r="JEO4" s="1"/>
      <c r="JEP4" s="1"/>
      <c r="JEQ4" s="1"/>
      <c r="JER4" s="1"/>
      <c r="JES4" s="1"/>
      <c r="JET4" s="1"/>
      <c r="JEU4" s="1"/>
      <c r="JEV4" s="1"/>
      <c r="JEW4" s="1"/>
      <c r="JEX4" s="1"/>
      <c r="JEY4" s="1"/>
      <c r="JEZ4" s="1"/>
      <c r="JFA4" s="1"/>
      <c r="JFB4" s="1"/>
      <c r="JFC4" s="1"/>
      <c r="JFD4" s="1"/>
      <c r="JFE4" s="1"/>
      <c r="JFF4" s="1"/>
      <c r="JFG4" s="1"/>
      <c r="JFH4" s="1"/>
      <c r="JFI4" s="1"/>
      <c r="JFJ4" s="1"/>
      <c r="JFK4" s="1"/>
      <c r="JFL4" s="1"/>
      <c r="JFM4" s="1"/>
      <c r="JFN4" s="1"/>
      <c r="JFO4" s="1"/>
      <c r="JFP4" s="1"/>
      <c r="JFQ4" s="1"/>
      <c r="JFR4" s="1"/>
      <c r="JFS4" s="1"/>
      <c r="JFT4" s="1"/>
      <c r="JFU4" s="1"/>
      <c r="JFV4" s="1"/>
      <c r="JFW4" s="1"/>
      <c r="JFX4" s="1"/>
      <c r="JFY4" s="1"/>
      <c r="JFZ4" s="1"/>
      <c r="JGA4" s="1"/>
      <c r="JGB4" s="1"/>
      <c r="JGC4" s="1"/>
      <c r="JGD4" s="1"/>
      <c r="JGE4" s="1"/>
      <c r="JGF4" s="1"/>
      <c r="JGG4" s="1"/>
      <c r="JGH4" s="1"/>
      <c r="JGI4" s="1"/>
      <c r="JGJ4" s="1"/>
      <c r="JGK4" s="1"/>
      <c r="JGL4" s="1"/>
      <c r="JGM4" s="1"/>
      <c r="JGN4" s="1"/>
      <c r="JGO4" s="1"/>
      <c r="JGP4" s="1"/>
      <c r="JGQ4" s="1"/>
      <c r="JGR4" s="1"/>
      <c r="JGS4" s="1"/>
      <c r="JGT4" s="1"/>
      <c r="JGU4" s="1"/>
      <c r="JGV4" s="1"/>
      <c r="JGW4" s="1"/>
      <c r="JGX4" s="1"/>
      <c r="JGY4" s="1"/>
      <c r="JGZ4" s="1"/>
      <c r="JHA4" s="1"/>
      <c r="JHB4" s="1"/>
      <c r="JHC4" s="1"/>
      <c r="JHD4" s="1"/>
      <c r="JHE4" s="1"/>
      <c r="JHF4" s="1"/>
      <c r="JHG4" s="1"/>
      <c r="JHH4" s="1"/>
      <c r="JHI4" s="1"/>
      <c r="JHJ4" s="1"/>
      <c r="JHK4" s="1"/>
      <c r="JHL4" s="1"/>
      <c r="JHM4" s="1"/>
      <c r="JHN4" s="1"/>
      <c r="JHO4" s="1"/>
      <c r="JHP4" s="1"/>
      <c r="JHQ4" s="1"/>
      <c r="JHR4" s="1"/>
      <c r="JHS4" s="1"/>
      <c r="JHT4" s="1"/>
      <c r="JHU4" s="1"/>
      <c r="JHV4" s="1"/>
      <c r="JHW4" s="1"/>
      <c r="JHX4" s="1"/>
      <c r="JHY4" s="1"/>
      <c r="JHZ4" s="1"/>
      <c r="JIA4" s="1"/>
      <c r="JIB4" s="1"/>
      <c r="JIC4" s="1"/>
      <c r="JID4" s="1"/>
      <c r="JIE4" s="1"/>
      <c r="JIF4" s="1"/>
      <c r="JIG4" s="1"/>
      <c r="JIH4" s="1"/>
      <c r="JII4" s="1"/>
      <c r="JIJ4" s="1"/>
      <c r="JIK4" s="1"/>
      <c r="JIL4" s="1"/>
      <c r="JIM4" s="1"/>
      <c r="JIN4" s="1"/>
      <c r="JIO4" s="1"/>
      <c r="JIP4" s="1"/>
      <c r="JIQ4" s="1"/>
      <c r="JIR4" s="1"/>
      <c r="JIS4" s="1"/>
      <c r="JIT4" s="1"/>
      <c r="JIU4" s="1"/>
      <c r="JIV4" s="1"/>
      <c r="JIW4" s="1"/>
      <c r="JIX4" s="1"/>
      <c r="JIY4" s="1"/>
      <c r="JIZ4" s="1"/>
      <c r="JJA4" s="1"/>
      <c r="JJB4" s="1"/>
      <c r="JJC4" s="1"/>
      <c r="JJD4" s="1"/>
      <c r="JJE4" s="1"/>
      <c r="JJF4" s="1"/>
      <c r="JJG4" s="1"/>
      <c r="JJH4" s="1"/>
      <c r="JJI4" s="1"/>
      <c r="JJJ4" s="1"/>
      <c r="JJK4" s="1"/>
      <c r="JJL4" s="1"/>
      <c r="JJM4" s="1"/>
      <c r="JJN4" s="1"/>
      <c r="JJO4" s="1"/>
      <c r="JJP4" s="1"/>
      <c r="JJQ4" s="1"/>
      <c r="JJR4" s="1"/>
      <c r="JJS4" s="1"/>
      <c r="JJT4" s="1"/>
      <c r="JJU4" s="1"/>
      <c r="JJV4" s="1"/>
      <c r="JJW4" s="1"/>
      <c r="JJX4" s="1"/>
      <c r="JJY4" s="1"/>
      <c r="JJZ4" s="1"/>
      <c r="JKA4" s="1"/>
      <c r="JKB4" s="1"/>
      <c r="JKC4" s="1"/>
      <c r="JKD4" s="1"/>
      <c r="JKE4" s="1"/>
      <c r="JKF4" s="1"/>
      <c r="JKG4" s="1"/>
      <c r="JKH4" s="1"/>
      <c r="JKI4" s="1"/>
      <c r="JKJ4" s="1"/>
      <c r="JKK4" s="1"/>
      <c r="JKL4" s="1"/>
      <c r="JKM4" s="1"/>
      <c r="JKN4" s="1"/>
      <c r="JKO4" s="1"/>
      <c r="JKP4" s="1"/>
      <c r="JKQ4" s="1"/>
      <c r="JKR4" s="1"/>
      <c r="JKS4" s="1"/>
      <c r="JKT4" s="1"/>
      <c r="JKU4" s="1"/>
      <c r="JKV4" s="1"/>
      <c r="JKW4" s="1"/>
      <c r="JKX4" s="1"/>
      <c r="JKY4" s="1"/>
      <c r="JKZ4" s="1"/>
      <c r="JLA4" s="1"/>
      <c r="JLB4" s="1"/>
      <c r="JLC4" s="1"/>
      <c r="JLD4" s="1"/>
      <c r="JLE4" s="1"/>
      <c r="JLF4" s="1"/>
      <c r="JLG4" s="1"/>
      <c r="JLH4" s="1"/>
      <c r="JLI4" s="1"/>
      <c r="JLJ4" s="1"/>
      <c r="JLK4" s="1"/>
      <c r="JLL4" s="1"/>
      <c r="JLM4" s="1"/>
      <c r="JLN4" s="1"/>
      <c r="JLO4" s="1"/>
      <c r="JLP4" s="1"/>
      <c r="JLQ4" s="1"/>
      <c r="JLR4" s="1"/>
      <c r="JLS4" s="1"/>
      <c r="JLT4" s="1"/>
      <c r="JLU4" s="1"/>
      <c r="JLV4" s="1"/>
      <c r="JLW4" s="1"/>
      <c r="JLX4" s="1"/>
      <c r="JLY4" s="1"/>
      <c r="JLZ4" s="1"/>
      <c r="JMA4" s="1"/>
      <c r="JMB4" s="1"/>
      <c r="JMC4" s="1"/>
      <c r="JMD4" s="1"/>
      <c r="JME4" s="1"/>
      <c r="JMF4" s="1"/>
      <c r="JMG4" s="1"/>
      <c r="JMH4" s="1"/>
      <c r="JMI4" s="1"/>
      <c r="JMJ4" s="1"/>
      <c r="JMK4" s="1"/>
      <c r="JML4" s="1"/>
      <c r="JMM4" s="1"/>
      <c r="JMN4" s="1"/>
      <c r="JMO4" s="1"/>
      <c r="JMP4" s="1"/>
      <c r="JMQ4" s="1"/>
      <c r="JMR4" s="1"/>
      <c r="JMS4" s="1"/>
      <c r="JMT4" s="1"/>
      <c r="JMU4" s="1"/>
      <c r="JMV4" s="1"/>
      <c r="JMW4" s="1"/>
      <c r="JMX4" s="1"/>
      <c r="JMY4" s="1"/>
      <c r="JMZ4" s="1"/>
      <c r="JNA4" s="1"/>
      <c r="JNB4" s="1"/>
      <c r="JNC4" s="1"/>
      <c r="JND4" s="1"/>
      <c r="JNE4" s="1"/>
      <c r="JNF4" s="1"/>
      <c r="JNG4" s="1"/>
      <c r="JNH4" s="1"/>
      <c r="JNI4" s="1"/>
      <c r="JNJ4" s="1"/>
      <c r="JNK4" s="1"/>
      <c r="JNL4" s="1"/>
      <c r="JNM4" s="1"/>
      <c r="JNN4" s="1"/>
      <c r="JNO4" s="1"/>
      <c r="JNP4" s="1"/>
      <c r="JNQ4" s="1"/>
      <c r="JNR4" s="1"/>
      <c r="JNS4" s="1"/>
      <c r="JNT4" s="1"/>
      <c r="JNU4" s="1"/>
      <c r="JNV4" s="1"/>
      <c r="JNW4" s="1"/>
      <c r="JNX4" s="1"/>
      <c r="JNY4" s="1"/>
      <c r="JNZ4" s="1"/>
      <c r="JOA4" s="1"/>
      <c r="JOB4" s="1"/>
      <c r="JOC4" s="1"/>
      <c r="JOD4" s="1"/>
      <c r="JOE4" s="1"/>
      <c r="JOF4" s="1"/>
      <c r="JOG4" s="1"/>
      <c r="JOH4" s="1"/>
      <c r="JOI4" s="1"/>
      <c r="JOJ4" s="1"/>
      <c r="JOK4" s="1"/>
      <c r="JOL4" s="1"/>
      <c r="JOM4" s="1"/>
      <c r="JON4" s="1"/>
      <c r="JOO4" s="1"/>
      <c r="JOP4" s="1"/>
      <c r="JOQ4" s="1"/>
      <c r="JOR4" s="1"/>
      <c r="JOS4" s="1"/>
      <c r="JOT4" s="1"/>
      <c r="JOU4" s="1"/>
      <c r="JOV4" s="1"/>
      <c r="JOW4" s="1"/>
      <c r="JOX4" s="1"/>
      <c r="JOY4" s="1"/>
      <c r="JOZ4" s="1"/>
      <c r="JPA4" s="1"/>
      <c r="JPB4" s="1"/>
      <c r="JPC4" s="1"/>
      <c r="JPD4" s="1"/>
      <c r="JPE4" s="1"/>
      <c r="JPF4" s="1"/>
      <c r="JPG4" s="1"/>
      <c r="JPH4" s="1"/>
      <c r="JPI4" s="1"/>
      <c r="JPJ4" s="1"/>
      <c r="JPK4" s="1"/>
      <c r="JPL4" s="1"/>
      <c r="JPM4" s="1"/>
      <c r="JPN4" s="1"/>
      <c r="JPO4" s="1"/>
      <c r="JPP4" s="1"/>
      <c r="JPQ4" s="1"/>
      <c r="JPR4" s="1"/>
      <c r="JPS4" s="1"/>
      <c r="JPT4" s="1"/>
      <c r="JPU4" s="1"/>
      <c r="JPV4" s="1"/>
      <c r="JPW4" s="1"/>
      <c r="JPX4" s="1"/>
      <c r="JPY4" s="1"/>
      <c r="JPZ4" s="1"/>
      <c r="JQA4" s="1"/>
      <c r="JQB4" s="1"/>
      <c r="JQC4" s="1"/>
      <c r="JQD4" s="1"/>
      <c r="JQE4" s="1"/>
      <c r="JQF4" s="1"/>
      <c r="JQG4" s="1"/>
      <c r="JQH4" s="1"/>
      <c r="JQI4" s="1"/>
      <c r="JQJ4" s="1"/>
      <c r="JQK4" s="1"/>
      <c r="JQL4" s="1"/>
      <c r="JQM4" s="1"/>
      <c r="JQN4" s="1"/>
      <c r="JQO4" s="1"/>
      <c r="JQP4" s="1"/>
      <c r="JQQ4" s="1"/>
      <c r="JQR4" s="1"/>
      <c r="JQS4" s="1"/>
      <c r="JQT4" s="1"/>
      <c r="JQU4" s="1"/>
      <c r="JQV4" s="1"/>
      <c r="JQW4" s="1"/>
      <c r="JQX4" s="1"/>
      <c r="JQY4" s="1"/>
      <c r="JQZ4" s="1"/>
      <c r="JRA4" s="1"/>
      <c r="JRB4" s="1"/>
      <c r="JRC4" s="1"/>
      <c r="JRD4" s="1"/>
      <c r="JRE4" s="1"/>
      <c r="JRF4" s="1"/>
      <c r="JRG4" s="1"/>
      <c r="JRH4" s="1"/>
      <c r="JRI4" s="1"/>
      <c r="JRJ4" s="1"/>
      <c r="JRK4" s="1"/>
      <c r="JRL4" s="1"/>
      <c r="JRM4" s="1"/>
      <c r="JRN4" s="1"/>
      <c r="JRO4" s="1"/>
      <c r="JRP4" s="1"/>
      <c r="JRQ4" s="1"/>
      <c r="JRR4" s="1"/>
      <c r="JRS4" s="1"/>
      <c r="JRT4" s="1"/>
      <c r="JRU4" s="1"/>
      <c r="JRV4" s="1"/>
      <c r="JRW4" s="1"/>
      <c r="JRX4" s="1"/>
      <c r="JRY4" s="1"/>
      <c r="JRZ4" s="1"/>
      <c r="JSA4" s="1"/>
      <c r="JSB4" s="1"/>
      <c r="JSC4" s="1"/>
      <c r="JSD4" s="1"/>
      <c r="JSE4" s="1"/>
      <c r="JSF4" s="1"/>
      <c r="JSG4" s="1"/>
      <c r="JSH4" s="1"/>
      <c r="JSI4" s="1"/>
      <c r="JSJ4" s="1"/>
      <c r="JSK4" s="1"/>
      <c r="JSL4" s="1"/>
      <c r="JSM4" s="1"/>
      <c r="JSN4" s="1"/>
      <c r="JSO4" s="1"/>
      <c r="JSP4" s="1"/>
      <c r="JSQ4" s="1"/>
      <c r="JSR4" s="1"/>
      <c r="JSS4" s="1"/>
      <c r="JST4" s="1"/>
      <c r="JSU4" s="1"/>
      <c r="JSV4" s="1"/>
      <c r="JSW4" s="1"/>
      <c r="JSX4" s="1"/>
      <c r="JSY4" s="1"/>
      <c r="JSZ4" s="1"/>
      <c r="JTA4" s="1"/>
      <c r="JTB4" s="1"/>
      <c r="JTC4" s="1"/>
      <c r="JTD4" s="1"/>
      <c r="JTE4" s="1"/>
      <c r="JTF4" s="1"/>
      <c r="JTG4" s="1"/>
      <c r="JTH4" s="1"/>
      <c r="JTI4" s="1"/>
      <c r="JTJ4" s="1"/>
      <c r="JTK4" s="1"/>
      <c r="JTL4" s="1"/>
      <c r="JTM4" s="1"/>
      <c r="JTN4" s="1"/>
      <c r="JTO4" s="1"/>
      <c r="JTP4" s="1"/>
      <c r="JTQ4" s="1"/>
      <c r="JTR4" s="1"/>
      <c r="JTS4" s="1"/>
      <c r="JTT4" s="1"/>
      <c r="JTU4" s="1"/>
      <c r="JTV4" s="1"/>
      <c r="JTW4" s="1"/>
      <c r="JTX4" s="1"/>
      <c r="JTY4" s="1"/>
      <c r="JTZ4" s="1"/>
      <c r="JUA4" s="1"/>
      <c r="JUB4" s="1"/>
      <c r="JUC4" s="1"/>
      <c r="JUD4" s="1"/>
      <c r="JUE4" s="1"/>
      <c r="JUF4" s="1"/>
      <c r="JUG4" s="1"/>
      <c r="JUH4" s="1"/>
      <c r="JUI4" s="1"/>
      <c r="JUJ4" s="1"/>
      <c r="JUK4" s="1"/>
      <c r="JUL4" s="1"/>
      <c r="JUM4" s="1"/>
      <c r="JUN4" s="1"/>
      <c r="JUO4" s="1"/>
      <c r="JUP4" s="1"/>
      <c r="JUQ4" s="1"/>
      <c r="JUR4" s="1"/>
      <c r="JUS4" s="1"/>
      <c r="JUT4" s="1"/>
      <c r="JUU4" s="1"/>
      <c r="JUV4" s="1"/>
      <c r="JUW4" s="1"/>
      <c r="JUX4" s="1"/>
      <c r="JUY4" s="1"/>
      <c r="JUZ4" s="1"/>
      <c r="JVA4" s="1"/>
      <c r="JVB4" s="1"/>
      <c r="JVC4" s="1"/>
      <c r="JVD4" s="1"/>
      <c r="JVE4" s="1"/>
      <c r="JVF4" s="1"/>
      <c r="JVG4" s="1"/>
      <c r="JVH4" s="1"/>
      <c r="JVI4" s="1"/>
      <c r="JVJ4" s="1"/>
      <c r="JVK4" s="1"/>
      <c r="JVL4" s="1"/>
      <c r="JVM4" s="1"/>
      <c r="JVN4" s="1"/>
      <c r="JVO4" s="1"/>
      <c r="JVP4" s="1"/>
      <c r="JVQ4" s="1"/>
      <c r="JVR4" s="1"/>
      <c r="JVS4" s="1"/>
      <c r="JVT4" s="1"/>
      <c r="JVU4" s="1"/>
      <c r="JVV4" s="1"/>
      <c r="JVW4" s="1"/>
      <c r="JVX4" s="1"/>
      <c r="JVY4" s="1"/>
      <c r="JVZ4" s="1"/>
      <c r="JWA4" s="1"/>
      <c r="JWB4" s="1"/>
      <c r="JWC4" s="1"/>
      <c r="JWD4" s="1"/>
      <c r="JWE4" s="1"/>
      <c r="JWF4" s="1"/>
      <c r="JWG4" s="1"/>
      <c r="JWH4" s="1"/>
      <c r="JWI4" s="1"/>
      <c r="JWJ4" s="1"/>
      <c r="JWK4" s="1"/>
      <c r="JWL4" s="1"/>
      <c r="JWM4" s="1"/>
      <c r="JWN4" s="1"/>
      <c r="JWO4" s="1"/>
      <c r="JWP4" s="1"/>
      <c r="JWQ4" s="1"/>
      <c r="JWR4" s="1"/>
      <c r="JWS4" s="1"/>
      <c r="JWT4" s="1"/>
      <c r="JWU4" s="1"/>
      <c r="JWV4" s="1"/>
      <c r="JWW4" s="1"/>
      <c r="JWX4" s="1"/>
      <c r="JWY4" s="1"/>
      <c r="JWZ4" s="1"/>
      <c r="JXA4" s="1"/>
      <c r="JXB4" s="1"/>
      <c r="JXC4" s="1"/>
      <c r="JXD4" s="1"/>
      <c r="JXE4" s="1"/>
      <c r="JXF4" s="1"/>
      <c r="JXG4" s="1"/>
      <c r="JXH4" s="1"/>
      <c r="JXI4" s="1"/>
      <c r="JXJ4" s="1"/>
      <c r="JXK4" s="1"/>
      <c r="JXL4" s="1"/>
      <c r="JXM4" s="1"/>
      <c r="JXN4" s="1"/>
      <c r="JXO4" s="1"/>
      <c r="JXP4" s="1"/>
      <c r="JXQ4" s="1"/>
      <c r="JXR4" s="1"/>
      <c r="JXS4" s="1"/>
      <c r="JXT4" s="1"/>
      <c r="JXU4" s="1"/>
      <c r="JXV4" s="1"/>
      <c r="JXW4" s="1"/>
      <c r="JXX4" s="1"/>
      <c r="JXY4" s="1"/>
      <c r="JXZ4" s="1"/>
      <c r="JYA4" s="1"/>
      <c r="JYB4" s="1"/>
      <c r="JYC4" s="1"/>
      <c r="JYD4" s="1"/>
      <c r="JYE4" s="1"/>
      <c r="JYF4" s="1"/>
      <c r="JYG4" s="1"/>
      <c r="JYH4" s="1"/>
      <c r="JYI4" s="1"/>
      <c r="JYJ4" s="1"/>
      <c r="JYK4" s="1"/>
      <c r="JYL4" s="1"/>
      <c r="JYM4" s="1"/>
      <c r="JYN4" s="1"/>
      <c r="JYO4" s="1"/>
      <c r="JYP4" s="1"/>
      <c r="JYQ4" s="1"/>
      <c r="JYR4" s="1"/>
      <c r="JYS4" s="1"/>
      <c r="JYT4" s="1"/>
      <c r="JYU4" s="1"/>
      <c r="JYV4" s="1"/>
      <c r="JYW4" s="1"/>
      <c r="JYX4" s="1"/>
      <c r="JYY4" s="1"/>
      <c r="JYZ4" s="1"/>
      <c r="JZA4" s="1"/>
      <c r="JZB4" s="1"/>
      <c r="JZC4" s="1"/>
      <c r="JZD4" s="1"/>
      <c r="JZE4" s="1"/>
      <c r="JZF4" s="1"/>
      <c r="JZG4" s="1"/>
      <c r="JZH4" s="1"/>
      <c r="JZI4" s="1"/>
      <c r="JZJ4" s="1"/>
      <c r="JZK4" s="1"/>
      <c r="JZL4" s="1"/>
      <c r="JZM4" s="1"/>
      <c r="JZN4" s="1"/>
      <c r="JZO4" s="1"/>
      <c r="JZP4" s="1"/>
      <c r="JZQ4" s="1"/>
      <c r="JZR4" s="1"/>
      <c r="JZS4" s="1"/>
      <c r="JZT4" s="1"/>
      <c r="JZU4" s="1"/>
      <c r="JZV4" s="1"/>
      <c r="JZW4" s="1"/>
      <c r="JZX4" s="1"/>
      <c r="JZY4" s="1"/>
      <c r="JZZ4" s="1"/>
      <c r="KAA4" s="1"/>
      <c r="KAB4" s="1"/>
      <c r="KAC4" s="1"/>
      <c r="KAD4" s="1"/>
      <c r="KAE4" s="1"/>
      <c r="KAF4" s="1"/>
      <c r="KAG4" s="1"/>
      <c r="KAH4" s="1"/>
      <c r="KAI4" s="1"/>
      <c r="KAJ4" s="1"/>
      <c r="KAK4" s="1"/>
      <c r="KAL4" s="1"/>
      <c r="KAM4" s="1"/>
      <c r="KAN4" s="1"/>
      <c r="KAO4" s="1"/>
      <c r="KAP4" s="1"/>
      <c r="KAQ4" s="1"/>
      <c r="KAR4" s="1"/>
      <c r="KAS4" s="1"/>
      <c r="KAT4" s="1"/>
      <c r="KAU4" s="1"/>
      <c r="KAV4" s="1"/>
      <c r="KAW4" s="1"/>
      <c r="KAX4" s="1"/>
      <c r="KAY4" s="1"/>
      <c r="KAZ4" s="1"/>
      <c r="KBA4" s="1"/>
      <c r="KBB4" s="1"/>
      <c r="KBC4" s="1"/>
      <c r="KBD4" s="1"/>
      <c r="KBE4" s="1"/>
      <c r="KBF4" s="1"/>
      <c r="KBG4" s="1"/>
      <c r="KBH4" s="1"/>
      <c r="KBI4" s="1"/>
      <c r="KBJ4" s="1"/>
      <c r="KBK4" s="1"/>
      <c r="KBL4" s="1"/>
      <c r="KBM4" s="1"/>
      <c r="KBN4" s="1"/>
      <c r="KBO4" s="1"/>
      <c r="KBP4" s="1"/>
      <c r="KBQ4" s="1"/>
      <c r="KBR4" s="1"/>
      <c r="KBS4" s="1"/>
      <c r="KBT4" s="1"/>
      <c r="KBU4" s="1"/>
      <c r="KBV4" s="1"/>
      <c r="KBW4" s="1"/>
      <c r="KBX4" s="1"/>
      <c r="KBY4" s="1"/>
      <c r="KBZ4" s="1"/>
      <c r="KCA4" s="1"/>
      <c r="KCB4" s="1"/>
      <c r="KCC4" s="1"/>
      <c r="KCD4" s="1"/>
      <c r="KCE4" s="1"/>
      <c r="KCF4" s="1"/>
      <c r="KCG4" s="1"/>
      <c r="KCH4" s="1"/>
      <c r="KCI4" s="1"/>
      <c r="KCJ4" s="1"/>
      <c r="KCK4" s="1"/>
      <c r="KCL4" s="1"/>
      <c r="KCM4" s="1"/>
      <c r="KCN4" s="1"/>
      <c r="KCO4" s="1"/>
      <c r="KCP4" s="1"/>
      <c r="KCQ4" s="1"/>
      <c r="KCR4" s="1"/>
      <c r="KCS4" s="1"/>
      <c r="KCT4" s="1"/>
      <c r="KCU4" s="1"/>
      <c r="KCV4" s="1"/>
      <c r="KCW4" s="1"/>
      <c r="KCX4" s="1"/>
      <c r="KCY4" s="1"/>
      <c r="KCZ4" s="1"/>
      <c r="KDA4" s="1"/>
      <c r="KDB4" s="1"/>
      <c r="KDC4" s="1"/>
      <c r="KDD4" s="1"/>
      <c r="KDE4" s="1"/>
      <c r="KDF4" s="1"/>
      <c r="KDG4" s="1"/>
      <c r="KDH4" s="1"/>
      <c r="KDI4" s="1"/>
      <c r="KDJ4" s="1"/>
      <c r="KDK4" s="1"/>
      <c r="KDL4" s="1"/>
      <c r="KDM4" s="1"/>
      <c r="KDN4" s="1"/>
      <c r="KDO4" s="1"/>
      <c r="KDP4" s="1"/>
      <c r="KDQ4" s="1"/>
      <c r="KDR4" s="1"/>
      <c r="KDS4" s="1"/>
      <c r="KDT4" s="1"/>
      <c r="KDU4" s="1"/>
      <c r="KDV4" s="1"/>
      <c r="KDW4" s="1"/>
      <c r="KDX4" s="1"/>
      <c r="KDY4" s="1"/>
      <c r="KDZ4" s="1"/>
      <c r="KEA4" s="1"/>
      <c r="KEB4" s="1"/>
      <c r="KEC4" s="1"/>
      <c r="KED4" s="1"/>
      <c r="KEE4" s="1"/>
      <c r="KEF4" s="1"/>
      <c r="KEG4" s="1"/>
      <c r="KEH4" s="1"/>
      <c r="KEI4" s="1"/>
      <c r="KEJ4" s="1"/>
      <c r="KEK4" s="1"/>
      <c r="KEL4" s="1"/>
      <c r="KEM4" s="1"/>
      <c r="KEN4" s="1"/>
      <c r="KEO4" s="1"/>
      <c r="KEP4" s="1"/>
      <c r="KEQ4" s="1"/>
      <c r="KER4" s="1"/>
      <c r="KES4" s="1"/>
      <c r="KET4" s="1"/>
      <c r="KEU4" s="1"/>
      <c r="KEV4" s="1"/>
      <c r="KEW4" s="1"/>
      <c r="KEX4" s="1"/>
      <c r="KEY4" s="1"/>
      <c r="KEZ4" s="1"/>
      <c r="KFA4" s="1"/>
      <c r="KFB4" s="1"/>
      <c r="KFC4" s="1"/>
      <c r="KFD4" s="1"/>
      <c r="KFE4" s="1"/>
      <c r="KFF4" s="1"/>
      <c r="KFG4" s="1"/>
      <c r="KFH4" s="1"/>
      <c r="KFI4" s="1"/>
      <c r="KFJ4" s="1"/>
      <c r="KFK4" s="1"/>
      <c r="KFL4" s="1"/>
      <c r="KFM4" s="1"/>
      <c r="KFN4" s="1"/>
      <c r="KFO4" s="1"/>
      <c r="KFP4" s="1"/>
      <c r="KFQ4" s="1"/>
      <c r="KFR4" s="1"/>
      <c r="KFS4" s="1"/>
      <c r="KFT4" s="1"/>
      <c r="KFU4" s="1"/>
      <c r="KFV4" s="1"/>
      <c r="KFW4" s="1"/>
      <c r="KFX4" s="1"/>
      <c r="KFY4" s="1"/>
      <c r="KFZ4" s="1"/>
      <c r="KGA4" s="1"/>
      <c r="KGB4" s="1"/>
      <c r="KGC4" s="1"/>
      <c r="KGD4" s="1"/>
      <c r="KGE4" s="1"/>
      <c r="KGF4" s="1"/>
      <c r="KGG4" s="1"/>
      <c r="KGH4" s="1"/>
      <c r="KGI4" s="1"/>
      <c r="KGJ4" s="1"/>
      <c r="KGK4" s="1"/>
      <c r="KGL4" s="1"/>
      <c r="KGM4" s="1"/>
      <c r="KGN4" s="1"/>
      <c r="KGO4" s="1"/>
      <c r="KGP4" s="1"/>
      <c r="KGQ4" s="1"/>
      <c r="KGR4" s="1"/>
      <c r="KGS4" s="1"/>
      <c r="KGT4" s="1"/>
      <c r="KGU4" s="1"/>
      <c r="KGV4" s="1"/>
      <c r="KGW4" s="1"/>
      <c r="KGX4" s="1"/>
      <c r="KGY4" s="1"/>
      <c r="KGZ4" s="1"/>
      <c r="KHA4" s="1"/>
      <c r="KHB4" s="1"/>
      <c r="KHC4" s="1"/>
      <c r="KHD4" s="1"/>
      <c r="KHE4" s="1"/>
      <c r="KHF4" s="1"/>
      <c r="KHG4" s="1"/>
      <c r="KHH4" s="1"/>
      <c r="KHI4" s="1"/>
      <c r="KHJ4" s="1"/>
      <c r="KHK4" s="1"/>
      <c r="KHL4" s="1"/>
      <c r="KHM4" s="1"/>
      <c r="KHN4" s="1"/>
      <c r="KHO4" s="1"/>
      <c r="KHP4" s="1"/>
      <c r="KHQ4" s="1"/>
      <c r="KHR4" s="1"/>
      <c r="KHS4" s="1"/>
      <c r="KHT4" s="1"/>
      <c r="KHU4" s="1"/>
      <c r="KHV4" s="1"/>
      <c r="KHW4" s="1"/>
      <c r="KHX4" s="1"/>
      <c r="KHY4" s="1"/>
      <c r="KHZ4" s="1"/>
      <c r="KIA4" s="1"/>
      <c r="KIB4" s="1"/>
      <c r="KIC4" s="1"/>
      <c r="KID4" s="1"/>
      <c r="KIE4" s="1"/>
      <c r="KIF4" s="1"/>
      <c r="KIG4" s="1"/>
      <c r="KIH4" s="1"/>
      <c r="KII4" s="1"/>
      <c r="KIJ4" s="1"/>
      <c r="KIK4" s="1"/>
      <c r="KIL4" s="1"/>
      <c r="KIM4" s="1"/>
      <c r="KIN4" s="1"/>
      <c r="KIO4" s="1"/>
      <c r="KIP4" s="1"/>
      <c r="KIQ4" s="1"/>
      <c r="KIR4" s="1"/>
      <c r="KIS4" s="1"/>
      <c r="KIT4" s="1"/>
      <c r="KIU4" s="1"/>
      <c r="KIV4" s="1"/>
      <c r="KIW4" s="1"/>
      <c r="KIX4" s="1"/>
      <c r="KIY4" s="1"/>
      <c r="KIZ4" s="1"/>
      <c r="KJA4" s="1"/>
      <c r="KJB4" s="1"/>
      <c r="KJC4" s="1"/>
      <c r="KJD4" s="1"/>
      <c r="KJE4" s="1"/>
      <c r="KJF4" s="1"/>
      <c r="KJG4" s="1"/>
      <c r="KJH4" s="1"/>
      <c r="KJI4" s="1"/>
      <c r="KJJ4" s="1"/>
      <c r="KJK4" s="1"/>
      <c r="KJL4" s="1"/>
      <c r="KJM4" s="1"/>
      <c r="KJN4" s="1"/>
      <c r="KJO4" s="1"/>
      <c r="KJP4" s="1"/>
      <c r="KJQ4" s="1"/>
      <c r="KJR4" s="1"/>
      <c r="KJS4" s="1"/>
      <c r="KJT4" s="1"/>
      <c r="KJU4" s="1"/>
      <c r="KJV4" s="1"/>
      <c r="KJW4" s="1"/>
      <c r="KJX4" s="1"/>
      <c r="KJY4" s="1"/>
      <c r="KJZ4" s="1"/>
      <c r="KKA4" s="1"/>
      <c r="KKB4" s="1"/>
      <c r="KKC4" s="1"/>
      <c r="KKD4" s="1"/>
      <c r="KKE4" s="1"/>
      <c r="KKF4" s="1"/>
      <c r="KKG4" s="1"/>
      <c r="KKH4" s="1"/>
      <c r="KKI4" s="1"/>
      <c r="KKJ4" s="1"/>
      <c r="KKK4" s="1"/>
      <c r="KKL4" s="1"/>
      <c r="KKM4" s="1"/>
      <c r="KKN4" s="1"/>
      <c r="KKO4" s="1"/>
      <c r="KKP4" s="1"/>
      <c r="KKQ4" s="1"/>
      <c r="KKR4" s="1"/>
      <c r="KKS4" s="1"/>
      <c r="KKT4" s="1"/>
      <c r="KKU4" s="1"/>
      <c r="KKV4" s="1"/>
      <c r="KKW4" s="1"/>
      <c r="KKX4" s="1"/>
      <c r="KKY4" s="1"/>
      <c r="KKZ4" s="1"/>
      <c r="KLA4" s="1"/>
      <c r="KLB4" s="1"/>
      <c r="KLC4" s="1"/>
      <c r="KLD4" s="1"/>
      <c r="KLE4" s="1"/>
      <c r="KLF4" s="1"/>
      <c r="KLG4" s="1"/>
      <c r="KLH4" s="1"/>
      <c r="KLI4" s="1"/>
      <c r="KLJ4" s="1"/>
      <c r="KLK4" s="1"/>
      <c r="KLL4" s="1"/>
      <c r="KLM4" s="1"/>
      <c r="KLN4" s="1"/>
      <c r="KLO4" s="1"/>
      <c r="KLP4" s="1"/>
      <c r="KLQ4" s="1"/>
      <c r="KLR4" s="1"/>
      <c r="KLS4" s="1"/>
      <c r="KLT4" s="1"/>
      <c r="KLU4" s="1"/>
      <c r="KLV4" s="1"/>
      <c r="KLW4" s="1"/>
      <c r="KLX4" s="1"/>
      <c r="KLY4" s="1"/>
      <c r="KLZ4" s="1"/>
      <c r="KMA4" s="1"/>
      <c r="KMB4" s="1"/>
      <c r="KMC4" s="1"/>
      <c r="KMD4" s="1"/>
      <c r="KME4" s="1"/>
      <c r="KMF4" s="1"/>
      <c r="KMG4" s="1"/>
      <c r="KMH4" s="1"/>
      <c r="KMI4" s="1"/>
      <c r="KMJ4" s="1"/>
      <c r="KMK4" s="1"/>
      <c r="KML4" s="1"/>
      <c r="KMM4" s="1"/>
      <c r="KMN4" s="1"/>
      <c r="KMO4" s="1"/>
      <c r="KMP4" s="1"/>
      <c r="KMQ4" s="1"/>
      <c r="KMR4" s="1"/>
      <c r="KMS4" s="1"/>
      <c r="KMT4" s="1"/>
      <c r="KMU4" s="1"/>
      <c r="KMV4" s="1"/>
      <c r="KMW4" s="1"/>
      <c r="KMX4" s="1"/>
      <c r="KMY4" s="1"/>
      <c r="KMZ4" s="1"/>
      <c r="KNA4" s="1"/>
      <c r="KNB4" s="1"/>
      <c r="KNC4" s="1"/>
      <c r="KND4" s="1"/>
      <c r="KNE4" s="1"/>
      <c r="KNF4" s="1"/>
      <c r="KNG4" s="1"/>
      <c r="KNH4" s="1"/>
      <c r="KNI4" s="1"/>
      <c r="KNJ4" s="1"/>
      <c r="KNK4" s="1"/>
      <c r="KNL4" s="1"/>
      <c r="KNM4" s="1"/>
      <c r="KNN4" s="1"/>
      <c r="KNO4" s="1"/>
      <c r="KNP4" s="1"/>
      <c r="KNQ4" s="1"/>
      <c r="KNR4" s="1"/>
      <c r="KNS4" s="1"/>
      <c r="KNT4" s="1"/>
      <c r="KNU4" s="1"/>
      <c r="KNV4" s="1"/>
      <c r="KNW4" s="1"/>
      <c r="KNX4" s="1"/>
      <c r="KNY4" s="1"/>
      <c r="KNZ4" s="1"/>
      <c r="KOA4" s="1"/>
      <c r="KOB4" s="1"/>
      <c r="KOC4" s="1"/>
      <c r="KOD4" s="1"/>
      <c r="KOE4" s="1"/>
      <c r="KOF4" s="1"/>
      <c r="KOG4" s="1"/>
      <c r="KOH4" s="1"/>
      <c r="KOI4" s="1"/>
      <c r="KOJ4" s="1"/>
      <c r="KOK4" s="1"/>
      <c r="KOL4" s="1"/>
      <c r="KOM4" s="1"/>
      <c r="KON4" s="1"/>
      <c r="KOO4" s="1"/>
      <c r="KOP4" s="1"/>
      <c r="KOQ4" s="1"/>
      <c r="KOR4" s="1"/>
      <c r="KOS4" s="1"/>
      <c r="KOT4" s="1"/>
      <c r="KOU4" s="1"/>
      <c r="KOV4" s="1"/>
      <c r="KOW4" s="1"/>
      <c r="KOX4" s="1"/>
      <c r="KOY4" s="1"/>
      <c r="KOZ4" s="1"/>
      <c r="KPA4" s="1"/>
      <c r="KPB4" s="1"/>
      <c r="KPC4" s="1"/>
      <c r="KPD4" s="1"/>
      <c r="KPE4" s="1"/>
      <c r="KPF4" s="1"/>
      <c r="KPG4" s="1"/>
      <c r="KPH4" s="1"/>
      <c r="KPI4" s="1"/>
      <c r="KPJ4" s="1"/>
      <c r="KPK4" s="1"/>
      <c r="KPL4" s="1"/>
      <c r="KPM4" s="1"/>
      <c r="KPN4" s="1"/>
      <c r="KPO4" s="1"/>
      <c r="KPP4" s="1"/>
      <c r="KPQ4" s="1"/>
      <c r="KPR4" s="1"/>
      <c r="KPS4" s="1"/>
      <c r="KPT4" s="1"/>
      <c r="KPU4" s="1"/>
      <c r="KPV4" s="1"/>
      <c r="KPW4" s="1"/>
      <c r="KPX4" s="1"/>
      <c r="KPY4" s="1"/>
      <c r="KPZ4" s="1"/>
      <c r="KQA4" s="1"/>
      <c r="KQB4" s="1"/>
      <c r="KQC4" s="1"/>
      <c r="KQD4" s="1"/>
      <c r="KQE4" s="1"/>
      <c r="KQF4" s="1"/>
      <c r="KQG4" s="1"/>
      <c r="KQH4" s="1"/>
      <c r="KQI4" s="1"/>
      <c r="KQJ4" s="1"/>
      <c r="KQK4" s="1"/>
      <c r="KQL4" s="1"/>
      <c r="KQM4" s="1"/>
      <c r="KQN4" s="1"/>
      <c r="KQO4" s="1"/>
      <c r="KQP4" s="1"/>
      <c r="KQQ4" s="1"/>
      <c r="KQR4" s="1"/>
      <c r="KQS4" s="1"/>
      <c r="KQT4" s="1"/>
      <c r="KQU4" s="1"/>
      <c r="KQV4" s="1"/>
      <c r="KQW4" s="1"/>
      <c r="KQX4" s="1"/>
      <c r="KQY4" s="1"/>
      <c r="KQZ4" s="1"/>
      <c r="KRA4" s="1"/>
      <c r="KRB4" s="1"/>
      <c r="KRC4" s="1"/>
      <c r="KRD4" s="1"/>
      <c r="KRE4" s="1"/>
      <c r="KRF4" s="1"/>
      <c r="KRG4" s="1"/>
      <c r="KRH4" s="1"/>
      <c r="KRI4" s="1"/>
      <c r="KRJ4" s="1"/>
      <c r="KRK4" s="1"/>
      <c r="KRL4" s="1"/>
      <c r="KRM4" s="1"/>
      <c r="KRN4" s="1"/>
      <c r="KRO4" s="1"/>
      <c r="KRP4" s="1"/>
      <c r="KRQ4" s="1"/>
      <c r="KRR4" s="1"/>
      <c r="KRS4" s="1"/>
      <c r="KRT4" s="1"/>
      <c r="KRU4" s="1"/>
      <c r="KRV4" s="1"/>
      <c r="KRW4" s="1"/>
      <c r="KRX4" s="1"/>
      <c r="KRY4" s="1"/>
      <c r="KRZ4" s="1"/>
      <c r="KSA4" s="1"/>
      <c r="KSB4" s="1"/>
      <c r="KSC4" s="1"/>
      <c r="KSD4" s="1"/>
      <c r="KSE4" s="1"/>
      <c r="KSF4" s="1"/>
      <c r="KSG4" s="1"/>
      <c r="KSH4" s="1"/>
      <c r="KSI4" s="1"/>
      <c r="KSJ4" s="1"/>
      <c r="KSK4" s="1"/>
      <c r="KSL4" s="1"/>
      <c r="KSM4" s="1"/>
      <c r="KSN4" s="1"/>
      <c r="KSO4" s="1"/>
      <c r="KSP4" s="1"/>
      <c r="KSQ4" s="1"/>
      <c r="KSR4" s="1"/>
      <c r="KSS4" s="1"/>
      <c r="KST4" s="1"/>
      <c r="KSU4" s="1"/>
      <c r="KSV4" s="1"/>
      <c r="KSW4" s="1"/>
      <c r="KSX4" s="1"/>
      <c r="KSY4" s="1"/>
      <c r="KSZ4" s="1"/>
      <c r="KTA4" s="1"/>
      <c r="KTB4" s="1"/>
      <c r="KTC4" s="1"/>
      <c r="KTD4" s="1"/>
      <c r="KTE4" s="1"/>
      <c r="KTF4" s="1"/>
      <c r="KTG4" s="1"/>
      <c r="KTH4" s="1"/>
      <c r="KTI4" s="1"/>
      <c r="KTJ4" s="1"/>
      <c r="KTK4" s="1"/>
      <c r="KTL4" s="1"/>
      <c r="KTM4" s="1"/>
      <c r="KTN4" s="1"/>
      <c r="KTO4" s="1"/>
      <c r="KTP4" s="1"/>
      <c r="KTQ4" s="1"/>
      <c r="KTR4" s="1"/>
      <c r="KTS4" s="1"/>
      <c r="KTT4" s="1"/>
      <c r="KTU4" s="1"/>
      <c r="KTV4" s="1"/>
      <c r="KTW4" s="1"/>
      <c r="KTX4" s="1"/>
      <c r="KTY4" s="1"/>
      <c r="KTZ4" s="1"/>
      <c r="KUA4" s="1"/>
      <c r="KUB4" s="1"/>
      <c r="KUC4" s="1"/>
      <c r="KUD4" s="1"/>
      <c r="KUE4" s="1"/>
      <c r="KUF4" s="1"/>
      <c r="KUG4" s="1"/>
      <c r="KUH4" s="1"/>
      <c r="KUI4" s="1"/>
      <c r="KUJ4" s="1"/>
      <c r="KUK4" s="1"/>
      <c r="KUL4" s="1"/>
      <c r="KUM4" s="1"/>
      <c r="KUN4" s="1"/>
      <c r="KUO4" s="1"/>
      <c r="KUP4" s="1"/>
      <c r="KUQ4" s="1"/>
      <c r="KUR4" s="1"/>
      <c r="KUS4" s="1"/>
      <c r="KUT4" s="1"/>
      <c r="KUU4" s="1"/>
      <c r="KUV4" s="1"/>
      <c r="KUW4" s="1"/>
      <c r="KUX4" s="1"/>
      <c r="KUY4" s="1"/>
      <c r="KUZ4" s="1"/>
      <c r="KVA4" s="1"/>
      <c r="KVB4" s="1"/>
      <c r="KVC4" s="1"/>
      <c r="KVD4" s="1"/>
      <c r="KVE4" s="1"/>
      <c r="KVF4" s="1"/>
      <c r="KVG4" s="1"/>
      <c r="KVH4" s="1"/>
      <c r="KVI4" s="1"/>
      <c r="KVJ4" s="1"/>
      <c r="KVK4" s="1"/>
      <c r="KVL4" s="1"/>
      <c r="KVM4" s="1"/>
      <c r="KVN4" s="1"/>
      <c r="KVO4" s="1"/>
      <c r="KVP4" s="1"/>
      <c r="KVQ4" s="1"/>
      <c r="KVR4" s="1"/>
      <c r="KVS4" s="1"/>
      <c r="KVT4" s="1"/>
      <c r="KVU4" s="1"/>
      <c r="KVV4" s="1"/>
      <c r="KVW4" s="1"/>
      <c r="KVX4" s="1"/>
      <c r="KVY4" s="1"/>
      <c r="KVZ4" s="1"/>
      <c r="KWA4" s="1"/>
      <c r="KWB4" s="1"/>
      <c r="KWC4" s="1"/>
      <c r="KWD4" s="1"/>
      <c r="KWE4" s="1"/>
      <c r="KWF4" s="1"/>
      <c r="KWG4" s="1"/>
      <c r="KWH4" s="1"/>
      <c r="KWI4" s="1"/>
      <c r="KWJ4" s="1"/>
      <c r="KWK4" s="1"/>
      <c r="KWL4" s="1"/>
      <c r="KWM4" s="1"/>
      <c r="KWN4" s="1"/>
      <c r="KWO4" s="1"/>
      <c r="KWP4" s="1"/>
      <c r="KWQ4" s="1"/>
      <c r="KWR4" s="1"/>
      <c r="KWS4" s="1"/>
      <c r="KWT4" s="1"/>
      <c r="KWU4" s="1"/>
      <c r="KWV4" s="1"/>
      <c r="KWW4" s="1"/>
      <c r="KWX4" s="1"/>
      <c r="KWY4" s="1"/>
      <c r="KWZ4" s="1"/>
      <c r="KXA4" s="1"/>
      <c r="KXB4" s="1"/>
      <c r="KXC4" s="1"/>
      <c r="KXD4" s="1"/>
      <c r="KXE4" s="1"/>
      <c r="KXF4" s="1"/>
      <c r="KXG4" s="1"/>
      <c r="KXH4" s="1"/>
      <c r="KXI4" s="1"/>
      <c r="KXJ4" s="1"/>
      <c r="KXK4" s="1"/>
      <c r="KXL4" s="1"/>
      <c r="KXM4" s="1"/>
      <c r="KXN4" s="1"/>
      <c r="KXO4" s="1"/>
      <c r="KXP4" s="1"/>
      <c r="KXQ4" s="1"/>
      <c r="KXR4" s="1"/>
      <c r="KXS4" s="1"/>
      <c r="KXT4" s="1"/>
      <c r="KXU4" s="1"/>
      <c r="KXV4" s="1"/>
      <c r="KXW4" s="1"/>
      <c r="KXX4" s="1"/>
      <c r="KXY4" s="1"/>
      <c r="KXZ4" s="1"/>
      <c r="KYA4" s="1"/>
      <c r="KYB4" s="1"/>
      <c r="KYC4" s="1"/>
      <c r="KYD4" s="1"/>
      <c r="KYE4" s="1"/>
      <c r="KYF4" s="1"/>
      <c r="KYG4" s="1"/>
      <c r="KYH4" s="1"/>
      <c r="KYI4" s="1"/>
      <c r="KYJ4" s="1"/>
      <c r="KYK4" s="1"/>
      <c r="KYL4" s="1"/>
      <c r="KYM4" s="1"/>
      <c r="KYN4" s="1"/>
      <c r="KYO4" s="1"/>
      <c r="KYP4" s="1"/>
      <c r="KYQ4" s="1"/>
      <c r="KYR4" s="1"/>
      <c r="KYS4" s="1"/>
      <c r="KYT4" s="1"/>
      <c r="KYU4" s="1"/>
      <c r="KYV4" s="1"/>
      <c r="KYW4" s="1"/>
      <c r="KYX4" s="1"/>
      <c r="KYY4" s="1"/>
      <c r="KYZ4" s="1"/>
      <c r="KZA4" s="1"/>
      <c r="KZB4" s="1"/>
      <c r="KZC4" s="1"/>
      <c r="KZD4" s="1"/>
      <c r="KZE4" s="1"/>
      <c r="KZF4" s="1"/>
      <c r="KZG4" s="1"/>
      <c r="KZH4" s="1"/>
      <c r="KZI4" s="1"/>
      <c r="KZJ4" s="1"/>
      <c r="KZK4" s="1"/>
      <c r="KZL4" s="1"/>
      <c r="KZM4" s="1"/>
      <c r="KZN4" s="1"/>
      <c r="KZO4" s="1"/>
      <c r="KZP4" s="1"/>
      <c r="KZQ4" s="1"/>
      <c r="KZR4" s="1"/>
      <c r="KZS4" s="1"/>
      <c r="KZT4" s="1"/>
      <c r="KZU4" s="1"/>
      <c r="KZV4" s="1"/>
      <c r="KZW4" s="1"/>
      <c r="KZX4" s="1"/>
      <c r="KZY4" s="1"/>
      <c r="KZZ4" s="1"/>
      <c r="LAA4" s="1"/>
      <c r="LAB4" s="1"/>
      <c r="LAC4" s="1"/>
      <c r="LAD4" s="1"/>
      <c r="LAE4" s="1"/>
      <c r="LAF4" s="1"/>
      <c r="LAG4" s="1"/>
      <c r="LAH4" s="1"/>
      <c r="LAI4" s="1"/>
      <c r="LAJ4" s="1"/>
      <c r="LAK4" s="1"/>
      <c r="LAL4" s="1"/>
      <c r="LAM4" s="1"/>
      <c r="LAN4" s="1"/>
      <c r="LAO4" s="1"/>
      <c r="LAP4" s="1"/>
      <c r="LAQ4" s="1"/>
      <c r="LAR4" s="1"/>
      <c r="LAS4" s="1"/>
      <c r="LAT4" s="1"/>
      <c r="LAU4" s="1"/>
      <c r="LAV4" s="1"/>
      <c r="LAW4" s="1"/>
      <c r="LAX4" s="1"/>
      <c r="LAY4" s="1"/>
      <c r="LAZ4" s="1"/>
      <c r="LBA4" s="1"/>
      <c r="LBB4" s="1"/>
      <c r="LBC4" s="1"/>
      <c r="LBD4" s="1"/>
      <c r="LBE4" s="1"/>
      <c r="LBF4" s="1"/>
      <c r="LBG4" s="1"/>
      <c r="LBH4" s="1"/>
      <c r="LBI4" s="1"/>
      <c r="LBJ4" s="1"/>
      <c r="LBK4" s="1"/>
      <c r="LBL4" s="1"/>
      <c r="LBM4" s="1"/>
      <c r="LBN4" s="1"/>
      <c r="LBO4" s="1"/>
      <c r="LBP4" s="1"/>
      <c r="LBQ4" s="1"/>
      <c r="LBR4" s="1"/>
      <c r="LBS4" s="1"/>
      <c r="LBT4" s="1"/>
      <c r="LBU4" s="1"/>
      <c r="LBV4" s="1"/>
      <c r="LBW4" s="1"/>
      <c r="LBX4" s="1"/>
      <c r="LBY4" s="1"/>
      <c r="LBZ4" s="1"/>
      <c r="LCA4" s="1"/>
      <c r="LCB4" s="1"/>
      <c r="LCC4" s="1"/>
      <c r="LCD4" s="1"/>
      <c r="LCE4" s="1"/>
      <c r="LCF4" s="1"/>
      <c r="LCG4" s="1"/>
      <c r="LCH4" s="1"/>
      <c r="LCI4" s="1"/>
      <c r="LCJ4" s="1"/>
      <c r="LCK4" s="1"/>
      <c r="LCL4" s="1"/>
      <c r="LCM4" s="1"/>
      <c r="LCN4" s="1"/>
      <c r="LCO4" s="1"/>
      <c r="LCP4" s="1"/>
      <c r="LCQ4" s="1"/>
      <c r="LCR4" s="1"/>
      <c r="LCS4" s="1"/>
      <c r="LCT4" s="1"/>
      <c r="LCU4" s="1"/>
      <c r="LCV4" s="1"/>
      <c r="LCW4" s="1"/>
      <c r="LCX4" s="1"/>
      <c r="LCY4" s="1"/>
      <c r="LCZ4" s="1"/>
      <c r="LDA4" s="1"/>
      <c r="LDB4" s="1"/>
      <c r="LDC4" s="1"/>
      <c r="LDD4" s="1"/>
      <c r="LDE4" s="1"/>
      <c r="LDF4" s="1"/>
      <c r="LDG4" s="1"/>
      <c r="LDH4" s="1"/>
      <c r="LDI4" s="1"/>
      <c r="LDJ4" s="1"/>
      <c r="LDK4" s="1"/>
      <c r="LDL4" s="1"/>
      <c r="LDM4" s="1"/>
      <c r="LDN4" s="1"/>
      <c r="LDO4" s="1"/>
      <c r="LDP4" s="1"/>
      <c r="LDQ4" s="1"/>
      <c r="LDR4" s="1"/>
      <c r="LDS4" s="1"/>
      <c r="LDT4" s="1"/>
      <c r="LDU4" s="1"/>
      <c r="LDV4" s="1"/>
      <c r="LDW4" s="1"/>
      <c r="LDX4" s="1"/>
      <c r="LDY4" s="1"/>
      <c r="LDZ4" s="1"/>
      <c r="LEA4" s="1"/>
      <c r="LEB4" s="1"/>
      <c r="LEC4" s="1"/>
      <c r="LED4" s="1"/>
      <c r="LEE4" s="1"/>
      <c r="LEF4" s="1"/>
      <c r="LEG4" s="1"/>
      <c r="LEH4" s="1"/>
      <c r="LEI4" s="1"/>
      <c r="LEJ4" s="1"/>
      <c r="LEK4" s="1"/>
      <c r="LEL4" s="1"/>
      <c r="LEM4" s="1"/>
      <c r="LEN4" s="1"/>
      <c r="LEO4" s="1"/>
      <c r="LEP4" s="1"/>
      <c r="LEQ4" s="1"/>
      <c r="LER4" s="1"/>
      <c r="LES4" s="1"/>
      <c r="LET4" s="1"/>
      <c r="LEU4" s="1"/>
      <c r="LEV4" s="1"/>
      <c r="LEW4" s="1"/>
      <c r="LEX4" s="1"/>
      <c r="LEY4" s="1"/>
      <c r="LEZ4" s="1"/>
      <c r="LFA4" s="1"/>
      <c r="LFB4" s="1"/>
      <c r="LFC4" s="1"/>
      <c r="LFD4" s="1"/>
      <c r="LFE4" s="1"/>
      <c r="LFF4" s="1"/>
      <c r="LFG4" s="1"/>
      <c r="LFH4" s="1"/>
      <c r="LFI4" s="1"/>
      <c r="LFJ4" s="1"/>
      <c r="LFK4" s="1"/>
      <c r="LFL4" s="1"/>
      <c r="LFM4" s="1"/>
      <c r="LFN4" s="1"/>
      <c r="LFO4" s="1"/>
      <c r="LFP4" s="1"/>
      <c r="LFQ4" s="1"/>
      <c r="LFR4" s="1"/>
      <c r="LFS4" s="1"/>
      <c r="LFT4" s="1"/>
      <c r="LFU4" s="1"/>
      <c r="LFV4" s="1"/>
      <c r="LFW4" s="1"/>
      <c r="LFX4" s="1"/>
      <c r="LFY4" s="1"/>
      <c r="LFZ4" s="1"/>
      <c r="LGA4" s="1"/>
      <c r="LGB4" s="1"/>
      <c r="LGC4" s="1"/>
      <c r="LGD4" s="1"/>
      <c r="LGE4" s="1"/>
      <c r="LGF4" s="1"/>
      <c r="LGG4" s="1"/>
      <c r="LGH4" s="1"/>
      <c r="LGI4" s="1"/>
      <c r="LGJ4" s="1"/>
      <c r="LGK4" s="1"/>
      <c r="LGL4" s="1"/>
      <c r="LGM4" s="1"/>
      <c r="LGN4" s="1"/>
      <c r="LGO4" s="1"/>
      <c r="LGP4" s="1"/>
      <c r="LGQ4" s="1"/>
      <c r="LGR4" s="1"/>
      <c r="LGS4" s="1"/>
      <c r="LGT4" s="1"/>
      <c r="LGU4" s="1"/>
      <c r="LGV4" s="1"/>
      <c r="LGW4" s="1"/>
      <c r="LGX4" s="1"/>
      <c r="LGY4" s="1"/>
      <c r="LGZ4" s="1"/>
      <c r="LHA4" s="1"/>
      <c r="LHB4" s="1"/>
      <c r="LHC4" s="1"/>
      <c r="LHD4" s="1"/>
      <c r="LHE4" s="1"/>
      <c r="LHF4" s="1"/>
      <c r="LHG4" s="1"/>
      <c r="LHH4" s="1"/>
      <c r="LHI4" s="1"/>
      <c r="LHJ4" s="1"/>
      <c r="LHK4" s="1"/>
      <c r="LHL4" s="1"/>
      <c r="LHM4" s="1"/>
      <c r="LHN4" s="1"/>
      <c r="LHO4" s="1"/>
      <c r="LHP4" s="1"/>
      <c r="LHQ4" s="1"/>
      <c r="LHR4" s="1"/>
      <c r="LHS4" s="1"/>
      <c r="LHT4" s="1"/>
      <c r="LHU4" s="1"/>
      <c r="LHV4" s="1"/>
      <c r="LHW4" s="1"/>
      <c r="LHX4" s="1"/>
      <c r="LHY4" s="1"/>
      <c r="LHZ4" s="1"/>
      <c r="LIA4" s="1"/>
      <c r="LIB4" s="1"/>
      <c r="LIC4" s="1"/>
      <c r="LID4" s="1"/>
      <c r="LIE4" s="1"/>
      <c r="LIF4" s="1"/>
      <c r="LIG4" s="1"/>
      <c r="LIH4" s="1"/>
      <c r="LII4" s="1"/>
      <c r="LIJ4" s="1"/>
      <c r="LIK4" s="1"/>
      <c r="LIL4" s="1"/>
      <c r="LIM4" s="1"/>
      <c r="LIN4" s="1"/>
      <c r="LIO4" s="1"/>
      <c r="LIP4" s="1"/>
      <c r="LIQ4" s="1"/>
      <c r="LIR4" s="1"/>
      <c r="LIS4" s="1"/>
      <c r="LIT4" s="1"/>
      <c r="LIU4" s="1"/>
      <c r="LIV4" s="1"/>
      <c r="LIW4" s="1"/>
      <c r="LIX4" s="1"/>
      <c r="LIY4" s="1"/>
      <c r="LIZ4" s="1"/>
      <c r="LJA4" s="1"/>
      <c r="LJB4" s="1"/>
      <c r="LJC4" s="1"/>
      <c r="LJD4" s="1"/>
      <c r="LJE4" s="1"/>
      <c r="LJF4" s="1"/>
      <c r="LJG4" s="1"/>
      <c r="LJH4" s="1"/>
      <c r="LJI4" s="1"/>
      <c r="LJJ4" s="1"/>
      <c r="LJK4" s="1"/>
      <c r="LJL4" s="1"/>
      <c r="LJM4" s="1"/>
      <c r="LJN4" s="1"/>
      <c r="LJO4" s="1"/>
      <c r="LJP4" s="1"/>
      <c r="LJQ4" s="1"/>
      <c r="LJR4" s="1"/>
      <c r="LJS4" s="1"/>
      <c r="LJT4" s="1"/>
      <c r="LJU4" s="1"/>
      <c r="LJV4" s="1"/>
      <c r="LJW4" s="1"/>
      <c r="LJX4" s="1"/>
      <c r="LJY4" s="1"/>
      <c r="LJZ4" s="1"/>
      <c r="LKA4" s="1"/>
      <c r="LKB4" s="1"/>
      <c r="LKC4" s="1"/>
      <c r="LKD4" s="1"/>
      <c r="LKE4" s="1"/>
      <c r="LKF4" s="1"/>
      <c r="LKG4" s="1"/>
      <c r="LKH4" s="1"/>
      <c r="LKI4" s="1"/>
      <c r="LKJ4" s="1"/>
      <c r="LKK4" s="1"/>
      <c r="LKL4" s="1"/>
      <c r="LKM4" s="1"/>
      <c r="LKN4" s="1"/>
      <c r="LKO4" s="1"/>
      <c r="LKP4" s="1"/>
      <c r="LKQ4" s="1"/>
      <c r="LKR4" s="1"/>
      <c r="LKS4" s="1"/>
      <c r="LKT4" s="1"/>
      <c r="LKU4" s="1"/>
      <c r="LKV4" s="1"/>
      <c r="LKW4" s="1"/>
      <c r="LKX4" s="1"/>
      <c r="LKY4" s="1"/>
      <c r="LKZ4" s="1"/>
      <c r="LLA4" s="1"/>
      <c r="LLB4" s="1"/>
      <c r="LLC4" s="1"/>
      <c r="LLD4" s="1"/>
      <c r="LLE4" s="1"/>
      <c r="LLF4" s="1"/>
      <c r="LLG4" s="1"/>
      <c r="LLH4" s="1"/>
      <c r="LLI4" s="1"/>
      <c r="LLJ4" s="1"/>
      <c r="LLK4" s="1"/>
      <c r="LLL4" s="1"/>
      <c r="LLM4" s="1"/>
      <c r="LLN4" s="1"/>
      <c r="LLO4" s="1"/>
      <c r="LLP4" s="1"/>
      <c r="LLQ4" s="1"/>
      <c r="LLR4" s="1"/>
      <c r="LLS4" s="1"/>
      <c r="LLT4" s="1"/>
      <c r="LLU4" s="1"/>
      <c r="LLV4" s="1"/>
      <c r="LLW4" s="1"/>
      <c r="LLX4" s="1"/>
      <c r="LLY4" s="1"/>
      <c r="LLZ4" s="1"/>
      <c r="LMA4" s="1"/>
      <c r="LMB4" s="1"/>
      <c r="LMC4" s="1"/>
      <c r="LMD4" s="1"/>
      <c r="LME4" s="1"/>
      <c r="LMF4" s="1"/>
      <c r="LMG4" s="1"/>
      <c r="LMH4" s="1"/>
      <c r="LMI4" s="1"/>
      <c r="LMJ4" s="1"/>
      <c r="LMK4" s="1"/>
      <c r="LML4" s="1"/>
      <c r="LMM4" s="1"/>
      <c r="LMN4" s="1"/>
      <c r="LMO4" s="1"/>
      <c r="LMP4" s="1"/>
      <c r="LMQ4" s="1"/>
      <c r="LMR4" s="1"/>
      <c r="LMS4" s="1"/>
      <c r="LMT4" s="1"/>
      <c r="LMU4" s="1"/>
      <c r="LMV4" s="1"/>
      <c r="LMW4" s="1"/>
      <c r="LMX4" s="1"/>
      <c r="LMY4" s="1"/>
      <c r="LMZ4" s="1"/>
      <c r="LNA4" s="1"/>
      <c r="LNB4" s="1"/>
      <c r="LNC4" s="1"/>
      <c r="LND4" s="1"/>
      <c r="LNE4" s="1"/>
      <c r="LNF4" s="1"/>
      <c r="LNG4" s="1"/>
      <c r="LNH4" s="1"/>
      <c r="LNI4" s="1"/>
      <c r="LNJ4" s="1"/>
      <c r="LNK4" s="1"/>
      <c r="LNL4" s="1"/>
      <c r="LNM4" s="1"/>
      <c r="LNN4" s="1"/>
      <c r="LNO4" s="1"/>
      <c r="LNP4" s="1"/>
      <c r="LNQ4" s="1"/>
      <c r="LNR4" s="1"/>
      <c r="LNS4" s="1"/>
      <c r="LNT4" s="1"/>
      <c r="LNU4" s="1"/>
      <c r="LNV4" s="1"/>
      <c r="LNW4" s="1"/>
      <c r="LNX4" s="1"/>
      <c r="LNY4" s="1"/>
      <c r="LNZ4" s="1"/>
      <c r="LOA4" s="1"/>
      <c r="LOB4" s="1"/>
      <c r="LOC4" s="1"/>
      <c r="LOD4" s="1"/>
      <c r="LOE4" s="1"/>
      <c r="LOF4" s="1"/>
      <c r="LOG4" s="1"/>
      <c r="LOH4" s="1"/>
      <c r="LOI4" s="1"/>
      <c r="LOJ4" s="1"/>
      <c r="LOK4" s="1"/>
      <c r="LOL4" s="1"/>
      <c r="LOM4" s="1"/>
      <c r="LON4" s="1"/>
      <c r="LOO4" s="1"/>
      <c r="LOP4" s="1"/>
      <c r="LOQ4" s="1"/>
      <c r="LOR4" s="1"/>
      <c r="LOS4" s="1"/>
      <c r="LOT4" s="1"/>
      <c r="LOU4" s="1"/>
      <c r="LOV4" s="1"/>
      <c r="LOW4" s="1"/>
      <c r="LOX4" s="1"/>
      <c r="LOY4" s="1"/>
      <c r="LOZ4" s="1"/>
      <c r="LPA4" s="1"/>
      <c r="LPB4" s="1"/>
      <c r="LPC4" s="1"/>
      <c r="LPD4" s="1"/>
      <c r="LPE4" s="1"/>
      <c r="LPF4" s="1"/>
      <c r="LPG4" s="1"/>
      <c r="LPH4" s="1"/>
      <c r="LPI4" s="1"/>
      <c r="LPJ4" s="1"/>
      <c r="LPK4" s="1"/>
      <c r="LPL4" s="1"/>
      <c r="LPM4" s="1"/>
      <c r="LPN4" s="1"/>
      <c r="LPO4" s="1"/>
      <c r="LPP4" s="1"/>
      <c r="LPQ4" s="1"/>
      <c r="LPR4" s="1"/>
      <c r="LPS4" s="1"/>
      <c r="LPT4" s="1"/>
      <c r="LPU4" s="1"/>
      <c r="LPV4" s="1"/>
      <c r="LPW4" s="1"/>
      <c r="LPX4" s="1"/>
      <c r="LPY4" s="1"/>
      <c r="LPZ4" s="1"/>
      <c r="LQA4" s="1"/>
      <c r="LQB4" s="1"/>
      <c r="LQC4" s="1"/>
      <c r="LQD4" s="1"/>
      <c r="LQE4" s="1"/>
      <c r="LQF4" s="1"/>
      <c r="LQG4" s="1"/>
      <c r="LQH4" s="1"/>
      <c r="LQI4" s="1"/>
      <c r="LQJ4" s="1"/>
      <c r="LQK4" s="1"/>
      <c r="LQL4" s="1"/>
      <c r="LQM4" s="1"/>
      <c r="LQN4" s="1"/>
      <c r="LQO4" s="1"/>
      <c r="LQP4" s="1"/>
      <c r="LQQ4" s="1"/>
      <c r="LQR4" s="1"/>
      <c r="LQS4" s="1"/>
      <c r="LQT4" s="1"/>
      <c r="LQU4" s="1"/>
      <c r="LQV4" s="1"/>
      <c r="LQW4" s="1"/>
      <c r="LQX4" s="1"/>
      <c r="LQY4" s="1"/>
      <c r="LQZ4" s="1"/>
      <c r="LRA4" s="1"/>
      <c r="LRB4" s="1"/>
      <c r="LRC4" s="1"/>
      <c r="LRD4" s="1"/>
      <c r="LRE4" s="1"/>
      <c r="LRF4" s="1"/>
      <c r="LRG4" s="1"/>
      <c r="LRH4" s="1"/>
      <c r="LRI4" s="1"/>
      <c r="LRJ4" s="1"/>
      <c r="LRK4" s="1"/>
      <c r="LRL4" s="1"/>
      <c r="LRM4" s="1"/>
      <c r="LRN4" s="1"/>
      <c r="LRO4" s="1"/>
      <c r="LRP4" s="1"/>
      <c r="LRQ4" s="1"/>
      <c r="LRR4" s="1"/>
      <c r="LRS4" s="1"/>
      <c r="LRT4" s="1"/>
      <c r="LRU4" s="1"/>
      <c r="LRV4" s="1"/>
      <c r="LRW4" s="1"/>
      <c r="LRX4" s="1"/>
      <c r="LRY4" s="1"/>
      <c r="LRZ4" s="1"/>
      <c r="LSA4" s="1"/>
      <c r="LSB4" s="1"/>
      <c r="LSC4" s="1"/>
      <c r="LSD4" s="1"/>
      <c r="LSE4" s="1"/>
      <c r="LSF4" s="1"/>
      <c r="LSG4" s="1"/>
      <c r="LSH4" s="1"/>
      <c r="LSI4" s="1"/>
      <c r="LSJ4" s="1"/>
      <c r="LSK4" s="1"/>
      <c r="LSL4" s="1"/>
      <c r="LSM4" s="1"/>
      <c r="LSN4" s="1"/>
      <c r="LSO4" s="1"/>
      <c r="LSP4" s="1"/>
      <c r="LSQ4" s="1"/>
      <c r="LSR4" s="1"/>
      <c r="LSS4" s="1"/>
      <c r="LST4" s="1"/>
      <c r="LSU4" s="1"/>
      <c r="LSV4" s="1"/>
      <c r="LSW4" s="1"/>
      <c r="LSX4" s="1"/>
      <c r="LSY4" s="1"/>
      <c r="LSZ4" s="1"/>
      <c r="LTA4" s="1"/>
      <c r="LTB4" s="1"/>
      <c r="LTC4" s="1"/>
      <c r="LTD4" s="1"/>
      <c r="LTE4" s="1"/>
      <c r="LTF4" s="1"/>
      <c r="LTG4" s="1"/>
      <c r="LTH4" s="1"/>
      <c r="LTI4" s="1"/>
      <c r="LTJ4" s="1"/>
      <c r="LTK4" s="1"/>
      <c r="LTL4" s="1"/>
      <c r="LTM4" s="1"/>
      <c r="LTN4" s="1"/>
      <c r="LTO4" s="1"/>
      <c r="LTP4" s="1"/>
      <c r="LTQ4" s="1"/>
      <c r="LTR4" s="1"/>
      <c r="LTS4" s="1"/>
      <c r="LTT4" s="1"/>
      <c r="LTU4" s="1"/>
      <c r="LTV4" s="1"/>
      <c r="LTW4" s="1"/>
      <c r="LTX4" s="1"/>
      <c r="LTY4" s="1"/>
      <c r="LTZ4" s="1"/>
      <c r="LUA4" s="1"/>
      <c r="LUB4" s="1"/>
      <c r="LUC4" s="1"/>
      <c r="LUD4" s="1"/>
      <c r="LUE4" s="1"/>
      <c r="LUF4" s="1"/>
      <c r="LUG4" s="1"/>
      <c r="LUH4" s="1"/>
      <c r="LUI4" s="1"/>
      <c r="LUJ4" s="1"/>
      <c r="LUK4" s="1"/>
      <c r="LUL4" s="1"/>
      <c r="LUM4" s="1"/>
      <c r="LUN4" s="1"/>
      <c r="LUO4" s="1"/>
      <c r="LUP4" s="1"/>
      <c r="LUQ4" s="1"/>
      <c r="LUR4" s="1"/>
      <c r="LUS4" s="1"/>
      <c r="LUT4" s="1"/>
      <c r="LUU4" s="1"/>
      <c r="LUV4" s="1"/>
      <c r="LUW4" s="1"/>
      <c r="LUX4" s="1"/>
      <c r="LUY4" s="1"/>
      <c r="LUZ4" s="1"/>
      <c r="LVA4" s="1"/>
      <c r="LVB4" s="1"/>
      <c r="LVC4" s="1"/>
      <c r="LVD4" s="1"/>
      <c r="LVE4" s="1"/>
      <c r="LVF4" s="1"/>
      <c r="LVG4" s="1"/>
      <c r="LVH4" s="1"/>
      <c r="LVI4" s="1"/>
      <c r="LVJ4" s="1"/>
      <c r="LVK4" s="1"/>
      <c r="LVL4" s="1"/>
      <c r="LVM4" s="1"/>
      <c r="LVN4" s="1"/>
      <c r="LVO4" s="1"/>
      <c r="LVP4" s="1"/>
      <c r="LVQ4" s="1"/>
      <c r="LVR4" s="1"/>
      <c r="LVS4" s="1"/>
      <c r="LVT4" s="1"/>
      <c r="LVU4" s="1"/>
      <c r="LVV4" s="1"/>
      <c r="LVW4" s="1"/>
      <c r="LVX4" s="1"/>
      <c r="LVY4" s="1"/>
      <c r="LVZ4" s="1"/>
      <c r="LWA4" s="1"/>
      <c r="LWB4" s="1"/>
      <c r="LWC4" s="1"/>
      <c r="LWD4" s="1"/>
      <c r="LWE4" s="1"/>
      <c r="LWF4" s="1"/>
      <c r="LWG4" s="1"/>
      <c r="LWH4" s="1"/>
      <c r="LWI4" s="1"/>
      <c r="LWJ4" s="1"/>
      <c r="LWK4" s="1"/>
      <c r="LWL4" s="1"/>
      <c r="LWM4" s="1"/>
      <c r="LWN4" s="1"/>
      <c r="LWO4" s="1"/>
      <c r="LWP4" s="1"/>
      <c r="LWQ4" s="1"/>
      <c r="LWR4" s="1"/>
      <c r="LWS4" s="1"/>
      <c r="LWT4" s="1"/>
      <c r="LWU4" s="1"/>
      <c r="LWV4" s="1"/>
      <c r="LWW4" s="1"/>
      <c r="LWX4" s="1"/>
      <c r="LWY4" s="1"/>
      <c r="LWZ4" s="1"/>
      <c r="LXA4" s="1"/>
      <c r="LXB4" s="1"/>
      <c r="LXC4" s="1"/>
      <c r="LXD4" s="1"/>
      <c r="LXE4" s="1"/>
      <c r="LXF4" s="1"/>
      <c r="LXG4" s="1"/>
      <c r="LXH4" s="1"/>
      <c r="LXI4" s="1"/>
      <c r="LXJ4" s="1"/>
      <c r="LXK4" s="1"/>
      <c r="LXL4" s="1"/>
      <c r="LXM4" s="1"/>
      <c r="LXN4" s="1"/>
      <c r="LXO4" s="1"/>
      <c r="LXP4" s="1"/>
      <c r="LXQ4" s="1"/>
      <c r="LXR4" s="1"/>
      <c r="LXS4" s="1"/>
      <c r="LXT4" s="1"/>
      <c r="LXU4" s="1"/>
      <c r="LXV4" s="1"/>
      <c r="LXW4" s="1"/>
      <c r="LXX4" s="1"/>
      <c r="LXY4" s="1"/>
      <c r="LXZ4" s="1"/>
      <c r="LYA4" s="1"/>
      <c r="LYB4" s="1"/>
      <c r="LYC4" s="1"/>
      <c r="LYD4" s="1"/>
      <c r="LYE4" s="1"/>
      <c r="LYF4" s="1"/>
      <c r="LYG4" s="1"/>
      <c r="LYH4" s="1"/>
      <c r="LYI4" s="1"/>
      <c r="LYJ4" s="1"/>
      <c r="LYK4" s="1"/>
      <c r="LYL4" s="1"/>
      <c r="LYM4" s="1"/>
      <c r="LYN4" s="1"/>
      <c r="LYO4" s="1"/>
      <c r="LYP4" s="1"/>
      <c r="LYQ4" s="1"/>
      <c r="LYR4" s="1"/>
      <c r="LYS4" s="1"/>
      <c r="LYT4" s="1"/>
      <c r="LYU4" s="1"/>
      <c r="LYV4" s="1"/>
      <c r="LYW4" s="1"/>
      <c r="LYX4" s="1"/>
      <c r="LYY4" s="1"/>
      <c r="LYZ4" s="1"/>
      <c r="LZA4" s="1"/>
      <c r="LZB4" s="1"/>
      <c r="LZC4" s="1"/>
      <c r="LZD4" s="1"/>
      <c r="LZE4" s="1"/>
      <c r="LZF4" s="1"/>
      <c r="LZG4" s="1"/>
      <c r="LZH4" s="1"/>
      <c r="LZI4" s="1"/>
      <c r="LZJ4" s="1"/>
      <c r="LZK4" s="1"/>
      <c r="LZL4" s="1"/>
      <c r="LZM4" s="1"/>
      <c r="LZN4" s="1"/>
      <c r="LZO4" s="1"/>
      <c r="LZP4" s="1"/>
      <c r="LZQ4" s="1"/>
      <c r="LZR4" s="1"/>
      <c r="LZS4" s="1"/>
      <c r="LZT4" s="1"/>
      <c r="LZU4" s="1"/>
      <c r="LZV4" s="1"/>
      <c r="LZW4" s="1"/>
      <c r="LZX4" s="1"/>
      <c r="LZY4" s="1"/>
      <c r="LZZ4" s="1"/>
      <c r="MAA4" s="1"/>
      <c r="MAB4" s="1"/>
      <c r="MAC4" s="1"/>
      <c r="MAD4" s="1"/>
      <c r="MAE4" s="1"/>
      <c r="MAF4" s="1"/>
      <c r="MAG4" s="1"/>
      <c r="MAH4" s="1"/>
      <c r="MAI4" s="1"/>
      <c r="MAJ4" s="1"/>
      <c r="MAK4" s="1"/>
      <c r="MAL4" s="1"/>
      <c r="MAM4" s="1"/>
      <c r="MAN4" s="1"/>
      <c r="MAO4" s="1"/>
      <c r="MAP4" s="1"/>
      <c r="MAQ4" s="1"/>
      <c r="MAR4" s="1"/>
      <c r="MAS4" s="1"/>
      <c r="MAT4" s="1"/>
      <c r="MAU4" s="1"/>
      <c r="MAV4" s="1"/>
      <c r="MAW4" s="1"/>
      <c r="MAX4" s="1"/>
      <c r="MAY4" s="1"/>
      <c r="MAZ4" s="1"/>
      <c r="MBA4" s="1"/>
      <c r="MBB4" s="1"/>
      <c r="MBC4" s="1"/>
      <c r="MBD4" s="1"/>
      <c r="MBE4" s="1"/>
      <c r="MBF4" s="1"/>
      <c r="MBG4" s="1"/>
      <c r="MBH4" s="1"/>
      <c r="MBI4" s="1"/>
      <c r="MBJ4" s="1"/>
      <c r="MBK4" s="1"/>
      <c r="MBL4" s="1"/>
      <c r="MBM4" s="1"/>
      <c r="MBN4" s="1"/>
      <c r="MBO4" s="1"/>
      <c r="MBP4" s="1"/>
      <c r="MBQ4" s="1"/>
      <c r="MBR4" s="1"/>
      <c r="MBS4" s="1"/>
      <c r="MBT4" s="1"/>
      <c r="MBU4" s="1"/>
      <c r="MBV4" s="1"/>
      <c r="MBW4" s="1"/>
      <c r="MBX4" s="1"/>
      <c r="MBY4" s="1"/>
      <c r="MBZ4" s="1"/>
      <c r="MCA4" s="1"/>
      <c r="MCB4" s="1"/>
      <c r="MCC4" s="1"/>
      <c r="MCD4" s="1"/>
      <c r="MCE4" s="1"/>
      <c r="MCF4" s="1"/>
      <c r="MCG4" s="1"/>
      <c r="MCH4" s="1"/>
      <c r="MCI4" s="1"/>
      <c r="MCJ4" s="1"/>
      <c r="MCK4" s="1"/>
      <c r="MCL4" s="1"/>
      <c r="MCM4" s="1"/>
      <c r="MCN4" s="1"/>
      <c r="MCO4" s="1"/>
      <c r="MCP4" s="1"/>
      <c r="MCQ4" s="1"/>
      <c r="MCR4" s="1"/>
      <c r="MCS4" s="1"/>
      <c r="MCT4" s="1"/>
      <c r="MCU4" s="1"/>
      <c r="MCV4" s="1"/>
      <c r="MCW4" s="1"/>
      <c r="MCX4" s="1"/>
      <c r="MCY4" s="1"/>
      <c r="MCZ4" s="1"/>
      <c r="MDA4" s="1"/>
      <c r="MDB4" s="1"/>
      <c r="MDC4" s="1"/>
      <c r="MDD4" s="1"/>
      <c r="MDE4" s="1"/>
      <c r="MDF4" s="1"/>
      <c r="MDG4" s="1"/>
      <c r="MDH4" s="1"/>
      <c r="MDI4" s="1"/>
      <c r="MDJ4" s="1"/>
      <c r="MDK4" s="1"/>
      <c r="MDL4" s="1"/>
      <c r="MDM4" s="1"/>
      <c r="MDN4" s="1"/>
      <c r="MDO4" s="1"/>
      <c r="MDP4" s="1"/>
      <c r="MDQ4" s="1"/>
      <c r="MDR4" s="1"/>
      <c r="MDS4" s="1"/>
      <c r="MDT4" s="1"/>
      <c r="MDU4" s="1"/>
      <c r="MDV4" s="1"/>
      <c r="MDW4" s="1"/>
      <c r="MDX4" s="1"/>
      <c r="MDY4" s="1"/>
      <c r="MDZ4" s="1"/>
      <c r="MEA4" s="1"/>
      <c r="MEB4" s="1"/>
      <c r="MEC4" s="1"/>
      <c r="MED4" s="1"/>
      <c r="MEE4" s="1"/>
      <c r="MEF4" s="1"/>
      <c r="MEG4" s="1"/>
      <c r="MEH4" s="1"/>
      <c r="MEI4" s="1"/>
      <c r="MEJ4" s="1"/>
      <c r="MEK4" s="1"/>
      <c r="MEL4" s="1"/>
      <c r="MEM4" s="1"/>
      <c r="MEN4" s="1"/>
      <c r="MEO4" s="1"/>
      <c r="MEP4" s="1"/>
      <c r="MEQ4" s="1"/>
      <c r="MER4" s="1"/>
      <c r="MES4" s="1"/>
      <c r="MET4" s="1"/>
      <c r="MEU4" s="1"/>
      <c r="MEV4" s="1"/>
      <c r="MEW4" s="1"/>
      <c r="MEX4" s="1"/>
      <c r="MEY4" s="1"/>
      <c r="MEZ4" s="1"/>
      <c r="MFA4" s="1"/>
      <c r="MFB4" s="1"/>
      <c r="MFC4" s="1"/>
      <c r="MFD4" s="1"/>
      <c r="MFE4" s="1"/>
      <c r="MFF4" s="1"/>
      <c r="MFG4" s="1"/>
      <c r="MFH4" s="1"/>
      <c r="MFI4" s="1"/>
      <c r="MFJ4" s="1"/>
      <c r="MFK4" s="1"/>
      <c r="MFL4" s="1"/>
      <c r="MFM4" s="1"/>
      <c r="MFN4" s="1"/>
      <c r="MFO4" s="1"/>
      <c r="MFP4" s="1"/>
      <c r="MFQ4" s="1"/>
      <c r="MFR4" s="1"/>
      <c r="MFS4" s="1"/>
      <c r="MFT4" s="1"/>
      <c r="MFU4" s="1"/>
      <c r="MFV4" s="1"/>
      <c r="MFW4" s="1"/>
      <c r="MFX4" s="1"/>
      <c r="MFY4" s="1"/>
      <c r="MFZ4" s="1"/>
      <c r="MGA4" s="1"/>
      <c r="MGB4" s="1"/>
      <c r="MGC4" s="1"/>
      <c r="MGD4" s="1"/>
      <c r="MGE4" s="1"/>
      <c r="MGF4" s="1"/>
      <c r="MGG4" s="1"/>
      <c r="MGH4" s="1"/>
      <c r="MGI4" s="1"/>
      <c r="MGJ4" s="1"/>
      <c r="MGK4" s="1"/>
      <c r="MGL4" s="1"/>
      <c r="MGM4" s="1"/>
      <c r="MGN4" s="1"/>
      <c r="MGO4" s="1"/>
      <c r="MGP4" s="1"/>
      <c r="MGQ4" s="1"/>
      <c r="MGR4" s="1"/>
      <c r="MGS4" s="1"/>
      <c r="MGT4" s="1"/>
      <c r="MGU4" s="1"/>
      <c r="MGV4" s="1"/>
      <c r="MGW4" s="1"/>
      <c r="MGX4" s="1"/>
      <c r="MGY4" s="1"/>
      <c r="MGZ4" s="1"/>
      <c r="MHA4" s="1"/>
      <c r="MHB4" s="1"/>
      <c r="MHC4" s="1"/>
      <c r="MHD4" s="1"/>
      <c r="MHE4" s="1"/>
      <c r="MHF4" s="1"/>
      <c r="MHG4" s="1"/>
      <c r="MHH4" s="1"/>
      <c r="MHI4" s="1"/>
      <c r="MHJ4" s="1"/>
      <c r="MHK4" s="1"/>
      <c r="MHL4" s="1"/>
      <c r="MHM4" s="1"/>
      <c r="MHN4" s="1"/>
      <c r="MHO4" s="1"/>
      <c r="MHP4" s="1"/>
      <c r="MHQ4" s="1"/>
      <c r="MHR4" s="1"/>
      <c r="MHS4" s="1"/>
      <c r="MHT4" s="1"/>
      <c r="MHU4" s="1"/>
      <c r="MHV4" s="1"/>
      <c r="MHW4" s="1"/>
      <c r="MHX4" s="1"/>
      <c r="MHY4" s="1"/>
      <c r="MHZ4" s="1"/>
      <c r="MIA4" s="1"/>
      <c r="MIB4" s="1"/>
      <c r="MIC4" s="1"/>
      <c r="MID4" s="1"/>
      <c r="MIE4" s="1"/>
      <c r="MIF4" s="1"/>
      <c r="MIG4" s="1"/>
      <c r="MIH4" s="1"/>
      <c r="MII4" s="1"/>
      <c r="MIJ4" s="1"/>
      <c r="MIK4" s="1"/>
      <c r="MIL4" s="1"/>
      <c r="MIM4" s="1"/>
      <c r="MIN4" s="1"/>
      <c r="MIO4" s="1"/>
      <c r="MIP4" s="1"/>
      <c r="MIQ4" s="1"/>
      <c r="MIR4" s="1"/>
      <c r="MIS4" s="1"/>
      <c r="MIT4" s="1"/>
      <c r="MIU4" s="1"/>
      <c r="MIV4" s="1"/>
      <c r="MIW4" s="1"/>
      <c r="MIX4" s="1"/>
      <c r="MIY4" s="1"/>
      <c r="MIZ4" s="1"/>
      <c r="MJA4" s="1"/>
      <c r="MJB4" s="1"/>
      <c r="MJC4" s="1"/>
      <c r="MJD4" s="1"/>
      <c r="MJE4" s="1"/>
      <c r="MJF4" s="1"/>
      <c r="MJG4" s="1"/>
      <c r="MJH4" s="1"/>
      <c r="MJI4" s="1"/>
      <c r="MJJ4" s="1"/>
      <c r="MJK4" s="1"/>
      <c r="MJL4" s="1"/>
      <c r="MJM4" s="1"/>
      <c r="MJN4" s="1"/>
      <c r="MJO4" s="1"/>
      <c r="MJP4" s="1"/>
      <c r="MJQ4" s="1"/>
      <c r="MJR4" s="1"/>
      <c r="MJS4" s="1"/>
      <c r="MJT4" s="1"/>
      <c r="MJU4" s="1"/>
      <c r="MJV4" s="1"/>
      <c r="MJW4" s="1"/>
      <c r="MJX4" s="1"/>
      <c r="MJY4" s="1"/>
      <c r="MJZ4" s="1"/>
      <c r="MKA4" s="1"/>
      <c r="MKB4" s="1"/>
      <c r="MKC4" s="1"/>
      <c r="MKD4" s="1"/>
      <c r="MKE4" s="1"/>
      <c r="MKF4" s="1"/>
      <c r="MKG4" s="1"/>
      <c r="MKH4" s="1"/>
      <c r="MKI4" s="1"/>
      <c r="MKJ4" s="1"/>
      <c r="MKK4" s="1"/>
      <c r="MKL4" s="1"/>
      <c r="MKM4" s="1"/>
      <c r="MKN4" s="1"/>
      <c r="MKO4" s="1"/>
      <c r="MKP4" s="1"/>
      <c r="MKQ4" s="1"/>
      <c r="MKR4" s="1"/>
      <c r="MKS4" s="1"/>
      <c r="MKT4" s="1"/>
      <c r="MKU4" s="1"/>
      <c r="MKV4" s="1"/>
      <c r="MKW4" s="1"/>
      <c r="MKX4" s="1"/>
      <c r="MKY4" s="1"/>
      <c r="MKZ4" s="1"/>
      <c r="MLA4" s="1"/>
      <c r="MLB4" s="1"/>
      <c r="MLC4" s="1"/>
      <c r="MLD4" s="1"/>
      <c r="MLE4" s="1"/>
      <c r="MLF4" s="1"/>
      <c r="MLG4" s="1"/>
      <c r="MLH4" s="1"/>
      <c r="MLI4" s="1"/>
      <c r="MLJ4" s="1"/>
      <c r="MLK4" s="1"/>
      <c r="MLL4" s="1"/>
      <c r="MLM4" s="1"/>
      <c r="MLN4" s="1"/>
      <c r="MLO4" s="1"/>
      <c r="MLP4" s="1"/>
      <c r="MLQ4" s="1"/>
      <c r="MLR4" s="1"/>
      <c r="MLS4" s="1"/>
      <c r="MLT4" s="1"/>
      <c r="MLU4" s="1"/>
      <c r="MLV4" s="1"/>
      <c r="MLW4" s="1"/>
      <c r="MLX4" s="1"/>
      <c r="MLY4" s="1"/>
      <c r="MLZ4" s="1"/>
      <c r="MMA4" s="1"/>
      <c r="MMB4" s="1"/>
      <c r="MMC4" s="1"/>
      <c r="MMD4" s="1"/>
      <c r="MME4" s="1"/>
      <c r="MMF4" s="1"/>
      <c r="MMG4" s="1"/>
      <c r="MMH4" s="1"/>
      <c r="MMI4" s="1"/>
      <c r="MMJ4" s="1"/>
      <c r="MMK4" s="1"/>
      <c r="MML4" s="1"/>
      <c r="MMM4" s="1"/>
      <c r="MMN4" s="1"/>
      <c r="MMO4" s="1"/>
      <c r="MMP4" s="1"/>
      <c r="MMQ4" s="1"/>
      <c r="MMR4" s="1"/>
      <c r="MMS4" s="1"/>
      <c r="MMT4" s="1"/>
      <c r="MMU4" s="1"/>
      <c r="MMV4" s="1"/>
      <c r="MMW4" s="1"/>
      <c r="MMX4" s="1"/>
      <c r="MMY4" s="1"/>
      <c r="MMZ4" s="1"/>
      <c r="MNA4" s="1"/>
      <c r="MNB4" s="1"/>
      <c r="MNC4" s="1"/>
      <c r="MND4" s="1"/>
      <c r="MNE4" s="1"/>
      <c r="MNF4" s="1"/>
      <c r="MNG4" s="1"/>
      <c r="MNH4" s="1"/>
      <c r="MNI4" s="1"/>
      <c r="MNJ4" s="1"/>
      <c r="MNK4" s="1"/>
      <c r="MNL4" s="1"/>
      <c r="MNM4" s="1"/>
      <c r="MNN4" s="1"/>
      <c r="MNO4" s="1"/>
      <c r="MNP4" s="1"/>
      <c r="MNQ4" s="1"/>
      <c r="MNR4" s="1"/>
      <c r="MNS4" s="1"/>
      <c r="MNT4" s="1"/>
      <c r="MNU4" s="1"/>
      <c r="MNV4" s="1"/>
      <c r="MNW4" s="1"/>
      <c r="MNX4" s="1"/>
      <c r="MNY4" s="1"/>
      <c r="MNZ4" s="1"/>
      <c r="MOA4" s="1"/>
      <c r="MOB4" s="1"/>
      <c r="MOC4" s="1"/>
      <c r="MOD4" s="1"/>
      <c r="MOE4" s="1"/>
      <c r="MOF4" s="1"/>
      <c r="MOG4" s="1"/>
      <c r="MOH4" s="1"/>
      <c r="MOI4" s="1"/>
      <c r="MOJ4" s="1"/>
      <c r="MOK4" s="1"/>
      <c r="MOL4" s="1"/>
      <c r="MOM4" s="1"/>
      <c r="MON4" s="1"/>
      <c r="MOO4" s="1"/>
      <c r="MOP4" s="1"/>
      <c r="MOQ4" s="1"/>
      <c r="MOR4" s="1"/>
      <c r="MOS4" s="1"/>
      <c r="MOT4" s="1"/>
      <c r="MOU4" s="1"/>
      <c r="MOV4" s="1"/>
      <c r="MOW4" s="1"/>
      <c r="MOX4" s="1"/>
      <c r="MOY4" s="1"/>
      <c r="MOZ4" s="1"/>
      <c r="MPA4" s="1"/>
      <c r="MPB4" s="1"/>
      <c r="MPC4" s="1"/>
      <c r="MPD4" s="1"/>
      <c r="MPE4" s="1"/>
      <c r="MPF4" s="1"/>
      <c r="MPG4" s="1"/>
      <c r="MPH4" s="1"/>
      <c r="MPI4" s="1"/>
      <c r="MPJ4" s="1"/>
      <c r="MPK4" s="1"/>
      <c r="MPL4" s="1"/>
      <c r="MPM4" s="1"/>
      <c r="MPN4" s="1"/>
      <c r="MPO4" s="1"/>
      <c r="MPP4" s="1"/>
      <c r="MPQ4" s="1"/>
      <c r="MPR4" s="1"/>
      <c r="MPS4" s="1"/>
      <c r="MPT4" s="1"/>
      <c r="MPU4" s="1"/>
      <c r="MPV4" s="1"/>
      <c r="MPW4" s="1"/>
      <c r="MPX4" s="1"/>
      <c r="MPY4" s="1"/>
      <c r="MPZ4" s="1"/>
      <c r="MQA4" s="1"/>
      <c r="MQB4" s="1"/>
      <c r="MQC4" s="1"/>
      <c r="MQD4" s="1"/>
      <c r="MQE4" s="1"/>
      <c r="MQF4" s="1"/>
      <c r="MQG4" s="1"/>
      <c r="MQH4" s="1"/>
      <c r="MQI4" s="1"/>
      <c r="MQJ4" s="1"/>
      <c r="MQK4" s="1"/>
      <c r="MQL4" s="1"/>
      <c r="MQM4" s="1"/>
      <c r="MQN4" s="1"/>
      <c r="MQO4" s="1"/>
      <c r="MQP4" s="1"/>
      <c r="MQQ4" s="1"/>
      <c r="MQR4" s="1"/>
      <c r="MQS4" s="1"/>
      <c r="MQT4" s="1"/>
      <c r="MQU4" s="1"/>
      <c r="MQV4" s="1"/>
      <c r="MQW4" s="1"/>
      <c r="MQX4" s="1"/>
      <c r="MQY4" s="1"/>
      <c r="MQZ4" s="1"/>
      <c r="MRA4" s="1"/>
      <c r="MRB4" s="1"/>
      <c r="MRC4" s="1"/>
      <c r="MRD4" s="1"/>
      <c r="MRE4" s="1"/>
      <c r="MRF4" s="1"/>
      <c r="MRG4" s="1"/>
      <c r="MRH4" s="1"/>
      <c r="MRI4" s="1"/>
      <c r="MRJ4" s="1"/>
      <c r="MRK4" s="1"/>
      <c r="MRL4" s="1"/>
      <c r="MRM4" s="1"/>
      <c r="MRN4" s="1"/>
      <c r="MRO4" s="1"/>
      <c r="MRP4" s="1"/>
      <c r="MRQ4" s="1"/>
      <c r="MRR4" s="1"/>
      <c r="MRS4" s="1"/>
      <c r="MRT4" s="1"/>
      <c r="MRU4" s="1"/>
      <c r="MRV4" s="1"/>
      <c r="MRW4" s="1"/>
      <c r="MRX4" s="1"/>
      <c r="MRY4" s="1"/>
      <c r="MRZ4" s="1"/>
      <c r="MSA4" s="1"/>
      <c r="MSB4" s="1"/>
      <c r="MSC4" s="1"/>
      <c r="MSD4" s="1"/>
      <c r="MSE4" s="1"/>
      <c r="MSF4" s="1"/>
      <c r="MSG4" s="1"/>
      <c r="MSH4" s="1"/>
      <c r="MSI4" s="1"/>
      <c r="MSJ4" s="1"/>
      <c r="MSK4" s="1"/>
      <c r="MSL4" s="1"/>
      <c r="MSM4" s="1"/>
      <c r="MSN4" s="1"/>
      <c r="MSO4" s="1"/>
      <c r="MSP4" s="1"/>
      <c r="MSQ4" s="1"/>
      <c r="MSR4" s="1"/>
      <c r="MSS4" s="1"/>
      <c r="MST4" s="1"/>
      <c r="MSU4" s="1"/>
      <c r="MSV4" s="1"/>
      <c r="MSW4" s="1"/>
      <c r="MSX4" s="1"/>
      <c r="MSY4" s="1"/>
      <c r="MSZ4" s="1"/>
      <c r="MTA4" s="1"/>
      <c r="MTB4" s="1"/>
      <c r="MTC4" s="1"/>
      <c r="MTD4" s="1"/>
      <c r="MTE4" s="1"/>
      <c r="MTF4" s="1"/>
      <c r="MTG4" s="1"/>
      <c r="MTH4" s="1"/>
      <c r="MTI4" s="1"/>
      <c r="MTJ4" s="1"/>
      <c r="MTK4" s="1"/>
      <c r="MTL4" s="1"/>
      <c r="MTM4" s="1"/>
      <c r="MTN4" s="1"/>
      <c r="MTO4" s="1"/>
      <c r="MTP4" s="1"/>
      <c r="MTQ4" s="1"/>
      <c r="MTR4" s="1"/>
      <c r="MTS4" s="1"/>
      <c r="MTT4" s="1"/>
      <c r="MTU4" s="1"/>
      <c r="MTV4" s="1"/>
      <c r="MTW4" s="1"/>
      <c r="MTX4" s="1"/>
      <c r="MTY4" s="1"/>
      <c r="MTZ4" s="1"/>
      <c r="MUA4" s="1"/>
      <c r="MUB4" s="1"/>
      <c r="MUC4" s="1"/>
      <c r="MUD4" s="1"/>
      <c r="MUE4" s="1"/>
      <c r="MUF4" s="1"/>
      <c r="MUG4" s="1"/>
      <c r="MUH4" s="1"/>
      <c r="MUI4" s="1"/>
      <c r="MUJ4" s="1"/>
      <c r="MUK4" s="1"/>
      <c r="MUL4" s="1"/>
      <c r="MUM4" s="1"/>
      <c r="MUN4" s="1"/>
      <c r="MUO4" s="1"/>
      <c r="MUP4" s="1"/>
      <c r="MUQ4" s="1"/>
      <c r="MUR4" s="1"/>
      <c r="MUS4" s="1"/>
      <c r="MUT4" s="1"/>
      <c r="MUU4" s="1"/>
      <c r="MUV4" s="1"/>
      <c r="MUW4" s="1"/>
      <c r="MUX4" s="1"/>
      <c r="MUY4" s="1"/>
      <c r="MUZ4" s="1"/>
      <c r="MVA4" s="1"/>
      <c r="MVB4" s="1"/>
      <c r="MVC4" s="1"/>
      <c r="MVD4" s="1"/>
      <c r="MVE4" s="1"/>
      <c r="MVF4" s="1"/>
      <c r="MVG4" s="1"/>
      <c r="MVH4" s="1"/>
      <c r="MVI4" s="1"/>
      <c r="MVJ4" s="1"/>
      <c r="MVK4" s="1"/>
      <c r="MVL4" s="1"/>
      <c r="MVM4" s="1"/>
      <c r="MVN4" s="1"/>
      <c r="MVO4" s="1"/>
      <c r="MVP4" s="1"/>
      <c r="MVQ4" s="1"/>
      <c r="MVR4" s="1"/>
      <c r="MVS4" s="1"/>
      <c r="MVT4" s="1"/>
      <c r="MVU4" s="1"/>
      <c r="MVV4" s="1"/>
      <c r="MVW4" s="1"/>
      <c r="MVX4" s="1"/>
      <c r="MVY4" s="1"/>
      <c r="MVZ4" s="1"/>
      <c r="MWA4" s="1"/>
      <c r="MWB4" s="1"/>
      <c r="MWC4" s="1"/>
      <c r="MWD4" s="1"/>
      <c r="MWE4" s="1"/>
      <c r="MWF4" s="1"/>
      <c r="MWG4" s="1"/>
      <c r="MWH4" s="1"/>
      <c r="MWI4" s="1"/>
      <c r="MWJ4" s="1"/>
      <c r="MWK4" s="1"/>
      <c r="MWL4" s="1"/>
      <c r="MWM4" s="1"/>
      <c r="MWN4" s="1"/>
      <c r="MWO4" s="1"/>
      <c r="MWP4" s="1"/>
      <c r="MWQ4" s="1"/>
      <c r="MWR4" s="1"/>
      <c r="MWS4" s="1"/>
      <c r="MWT4" s="1"/>
      <c r="MWU4" s="1"/>
      <c r="MWV4" s="1"/>
      <c r="MWW4" s="1"/>
      <c r="MWX4" s="1"/>
      <c r="MWY4" s="1"/>
      <c r="MWZ4" s="1"/>
      <c r="MXA4" s="1"/>
      <c r="MXB4" s="1"/>
      <c r="MXC4" s="1"/>
      <c r="MXD4" s="1"/>
      <c r="MXE4" s="1"/>
      <c r="MXF4" s="1"/>
      <c r="MXG4" s="1"/>
      <c r="MXH4" s="1"/>
      <c r="MXI4" s="1"/>
      <c r="MXJ4" s="1"/>
      <c r="MXK4" s="1"/>
      <c r="MXL4" s="1"/>
      <c r="MXM4" s="1"/>
      <c r="MXN4" s="1"/>
      <c r="MXO4" s="1"/>
      <c r="MXP4" s="1"/>
      <c r="MXQ4" s="1"/>
      <c r="MXR4" s="1"/>
      <c r="MXS4" s="1"/>
      <c r="MXT4" s="1"/>
      <c r="MXU4" s="1"/>
      <c r="MXV4" s="1"/>
      <c r="MXW4" s="1"/>
      <c r="MXX4" s="1"/>
      <c r="MXY4" s="1"/>
      <c r="MXZ4" s="1"/>
      <c r="MYA4" s="1"/>
      <c r="MYB4" s="1"/>
      <c r="MYC4" s="1"/>
      <c r="MYD4" s="1"/>
      <c r="MYE4" s="1"/>
      <c r="MYF4" s="1"/>
      <c r="MYG4" s="1"/>
      <c r="MYH4" s="1"/>
      <c r="MYI4" s="1"/>
      <c r="MYJ4" s="1"/>
      <c r="MYK4" s="1"/>
      <c r="MYL4" s="1"/>
      <c r="MYM4" s="1"/>
      <c r="MYN4" s="1"/>
      <c r="MYO4" s="1"/>
      <c r="MYP4" s="1"/>
      <c r="MYQ4" s="1"/>
      <c r="MYR4" s="1"/>
      <c r="MYS4" s="1"/>
      <c r="MYT4" s="1"/>
      <c r="MYU4" s="1"/>
      <c r="MYV4" s="1"/>
      <c r="MYW4" s="1"/>
      <c r="MYX4" s="1"/>
      <c r="MYY4" s="1"/>
      <c r="MYZ4" s="1"/>
      <c r="MZA4" s="1"/>
      <c r="MZB4" s="1"/>
      <c r="MZC4" s="1"/>
      <c r="MZD4" s="1"/>
      <c r="MZE4" s="1"/>
      <c r="MZF4" s="1"/>
      <c r="MZG4" s="1"/>
      <c r="MZH4" s="1"/>
      <c r="MZI4" s="1"/>
      <c r="MZJ4" s="1"/>
      <c r="MZK4" s="1"/>
      <c r="MZL4" s="1"/>
      <c r="MZM4" s="1"/>
      <c r="MZN4" s="1"/>
      <c r="MZO4" s="1"/>
      <c r="MZP4" s="1"/>
      <c r="MZQ4" s="1"/>
      <c r="MZR4" s="1"/>
      <c r="MZS4" s="1"/>
      <c r="MZT4" s="1"/>
      <c r="MZU4" s="1"/>
      <c r="MZV4" s="1"/>
      <c r="MZW4" s="1"/>
      <c r="MZX4" s="1"/>
      <c r="MZY4" s="1"/>
      <c r="MZZ4" s="1"/>
      <c r="NAA4" s="1"/>
      <c r="NAB4" s="1"/>
      <c r="NAC4" s="1"/>
      <c r="NAD4" s="1"/>
      <c r="NAE4" s="1"/>
      <c r="NAF4" s="1"/>
      <c r="NAG4" s="1"/>
      <c r="NAH4" s="1"/>
      <c r="NAI4" s="1"/>
      <c r="NAJ4" s="1"/>
      <c r="NAK4" s="1"/>
      <c r="NAL4" s="1"/>
      <c r="NAM4" s="1"/>
      <c r="NAN4" s="1"/>
      <c r="NAO4" s="1"/>
      <c r="NAP4" s="1"/>
      <c r="NAQ4" s="1"/>
      <c r="NAR4" s="1"/>
      <c r="NAS4" s="1"/>
      <c r="NAT4" s="1"/>
      <c r="NAU4" s="1"/>
      <c r="NAV4" s="1"/>
      <c r="NAW4" s="1"/>
      <c r="NAX4" s="1"/>
      <c r="NAY4" s="1"/>
      <c r="NAZ4" s="1"/>
      <c r="NBA4" s="1"/>
      <c r="NBB4" s="1"/>
      <c r="NBC4" s="1"/>
      <c r="NBD4" s="1"/>
      <c r="NBE4" s="1"/>
      <c r="NBF4" s="1"/>
      <c r="NBG4" s="1"/>
      <c r="NBH4" s="1"/>
      <c r="NBI4" s="1"/>
      <c r="NBJ4" s="1"/>
      <c r="NBK4" s="1"/>
      <c r="NBL4" s="1"/>
      <c r="NBM4" s="1"/>
      <c r="NBN4" s="1"/>
      <c r="NBO4" s="1"/>
      <c r="NBP4" s="1"/>
      <c r="NBQ4" s="1"/>
      <c r="NBR4" s="1"/>
      <c r="NBS4" s="1"/>
      <c r="NBT4" s="1"/>
      <c r="NBU4" s="1"/>
      <c r="NBV4" s="1"/>
      <c r="NBW4" s="1"/>
      <c r="NBX4" s="1"/>
      <c r="NBY4" s="1"/>
      <c r="NBZ4" s="1"/>
      <c r="NCA4" s="1"/>
      <c r="NCB4" s="1"/>
      <c r="NCC4" s="1"/>
      <c r="NCD4" s="1"/>
      <c r="NCE4" s="1"/>
      <c r="NCF4" s="1"/>
      <c r="NCG4" s="1"/>
      <c r="NCH4" s="1"/>
      <c r="NCI4" s="1"/>
      <c r="NCJ4" s="1"/>
      <c r="NCK4" s="1"/>
      <c r="NCL4" s="1"/>
      <c r="NCM4" s="1"/>
      <c r="NCN4" s="1"/>
      <c r="NCO4" s="1"/>
      <c r="NCP4" s="1"/>
      <c r="NCQ4" s="1"/>
      <c r="NCR4" s="1"/>
      <c r="NCS4" s="1"/>
      <c r="NCT4" s="1"/>
      <c r="NCU4" s="1"/>
      <c r="NCV4" s="1"/>
      <c r="NCW4" s="1"/>
      <c r="NCX4" s="1"/>
      <c r="NCY4" s="1"/>
      <c r="NCZ4" s="1"/>
      <c r="NDA4" s="1"/>
      <c r="NDB4" s="1"/>
      <c r="NDC4" s="1"/>
      <c r="NDD4" s="1"/>
      <c r="NDE4" s="1"/>
      <c r="NDF4" s="1"/>
      <c r="NDG4" s="1"/>
      <c r="NDH4" s="1"/>
      <c r="NDI4" s="1"/>
      <c r="NDJ4" s="1"/>
      <c r="NDK4" s="1"/>
      <c r="NDL4" s="1"/>
      <c r="NDM4" s="1"/>
      <c r="NDN4" s="1"/>
      <c r="NDO4" s="1"/>
      <c r="NDP4" s="1"/>
      <c r="NDQ4" s="1"/>
      <c r="NDR4" s="1"/>
      <c r="NDS4" s="1"/>
      <c r="NDT4" s="1"/>
      <c r="NDU4" s="1"/>
      <c r="NDV4" s="1"/>
      <c r="NDW4" s="1"/>
      <c r="NDX4" s="1"/>
      <c r="NDY4" s="1"/>
      <c r="NDZ4" s="1"/>
      <c r="NEA4" s="1"/>
      <c r="NEB4" s="1"/>
      <c r="NEC4" s="1"/>
      <c r="NED4" s="1"/>
      <c r="NEE4" s="1"/>
      <c r="NEF4" s="1"/>
      <c r="NEG4" s="1"/>
      <c r="NEH4" s="1"/>
      <c r="NEI4" s="1"/>
      <c r="NEJ4" s="1"/>
      <c r="NEK4" s="1"/>
      <c r="NEL4" s="1"/>
      <c r="NEM4" s="1"/>
      <c r="NEN4" s="1"/>
      <c r="NEO4" s="1"/>
      <c r="NEP4" s="1"/>
      <c r="NEQ4" s="1"/>
      <c r="NER4" s="1"/>
      <c r="NES4" s="1"/>
      <c r="NET4" s="1"/>
      <c r="NEU4" s="1"/>
      <c r="NEV4" s="1"/>
      <c r="NEW4" s="1"/>
      <c r="NEX4" s="1"/>
      <c r="NEY4" s="1"/>
      <c r="NEZ4" s="1"/>
      <c r="NFA4" s="1"/>
      <c r="NFB4" s="1"/>
      <c r="NFC4" s="1"/>
      <c r="NFD4" s="1"/>
      <c r="NFE4" s="1"/>
      <c r="NFF4" s="1"/>
      <c r="NFG4" s="1"/>
      <c r="NFH4" s="1"/>
      <c r="NFI4" s="1"/>
      <c r="NFJ4" s="1"/>
      <c r="NFK4" s="1"/>
      <c r="NFL4" s="1"/>
      <c r="NFM4" s="1"/>
      <c r="NFN4" s="1"/>
      <c r="NFO4" s="1"/>
      <c r="NFP4" s="1"/>
      <c r="NFQ4" s="1"/>
      <c r="NFR4" s="1"/>
      <c r="NFS4" s="1"/>
      <c r="NFT4" s="1"/>
      <c r="NFU4" s="1"/>
      <c r="NFV4" s="1"/>
      <c r="NFW4" s="1"/>
      <c r="NFX4" s="1"/>
      <c r="NFY4" s="1"/>
      <c r="NFZ4" s="1"/>
      <c r="NGA4" s="1"/>
      <c r="NGB4" s="1"/>
      <c r="NGC4" s="1"/>
      <c r="NGD4" s="1"/>
      <c r="NGE4" s="1"/>
      <c r="NGF4" s="1"/>
      <c r="NGG4" s="1"/>
      <c r="NGH4" s="1"/>
      <c r="NGI4" s="1"/>
      <c r="NGJ4" s="1"/>
      <c r="NGK4" s="1"/>
      <c r="NGL4" s="1"/>
      <c r="NGM4" s="1"/>
      <c r="NGN4" s="1"/>
      <c r="NGO4" s="1"/>
      <c r="NGP4" s="1"/>
      <c r="NGQ4" s="1"/>
      <c r="NGR4" s="1"/>
      <c r="NGS4" s="1"/>
      <c r="NGT4" s="1"/>
      <c r="NGU4" s="1"/>
      <c r="NGV4" s="1"/>
      <c r="NGW4" s="1"/>
      <c r="NGX4" s="1"/>
      <c r="NGY4" s="1"/>
      <c r="NGZ4" s="1"/>
      <c r="NHA4" s="1"/>
      <c r="NHB4" s="1"/>
      <c r="NHC4" s="1"/>
      <c r="NHD4" s="1"/>
      <c r="NHE4" s="1"/>
      <c r="NHF4" s="1"/>
      <c r="NHG4" s="1"/>
      <c r="NHH4" s="1"/>
      <c r="NHI4" s="1"/>
      <c r="NHJ4" s="1"/>
      <c r="NHK4" s="1"/>
      <c r="NHL4" s="1"/>
      <c r="NHM4" s="1"/>
      <c r="NHN4" s="1"/>
      <c r="NHO4" s="1"/>
      <c r="NHP4" s="1"/>
      <c r="NHQ4" s="1"/>
      <c r="NHR4" s="1"/>
      <c r="NHS4" s="1"/>
      <c r="NHT4" s="1"/>
      <c r="NHU4" s="1"/>
      <c r="NHV4" s="1"/>
      <c r="NHW4" s="1"/>
      <c r="NHX4" s="1"/>
      <c r="NHY4" s="1"/>
      <c r="NHZ4" s="1"/>
      <c r="NIA4" s="1"/>
      <c r="NIB4" s="1"/>
      <c r="NIC4" s="1"/>
      <c r="NID4" s="1"/>
      <c r="NIE4" s="1"/>
      <c r="NIF4" s="1"/>
      <c r="NIG4" s="1"/>
      <c r="NIH4" s="1"/>
      <c r="NII4" s="1"/>
      <c r="NIJ4" s="1"/>
      <c r="NIK4" s="1"/>
      <c r="NIL4" s="1"/>
      <c r="NIM4" s="1"/>
      <c r="NIN4" s="1"/>
      <c r="NIO4" s="1"/>
      <c r="NIP4" s="1"/>
      <c r="NIQ4" s="1"/>
      <c r="NIR4" s="1"/>
      <c r="NIS4" s="1"/>
      <c r="NIT4" s="1"/>
      <c r="NIU4" s="1"/>
      <c r="NIV4" s="1"/>
      <c r="NIW4" s="1"/>
      <c r="NIX4" s="1"/>
      <c r="NIY4" s="1"/>
      <c r="NIZ4" s="1"/>
      <c r="NJA4" s="1"/>
      <c r="NJB4" s="1"/>
      <c r="NJC4" s="1"/>
      <c r="NJD4" s="1"/>
      <c r="NJE4" s="1"/>
      <c r="NJF4" s="1"/>
      <c r="NJG4" s="1"/>
      <c r="NJH4" s="1"/>
      <c r="NJI4" s="1"/>
      <c r="NJJ4" s="1"/>
      <c r="NJK4" s="1"/>
      <c r="NJL4" s="1"/>
      <c r="NJM4" s="1"/>
      <c r="NJN4" s="1"/>
      <c r="NJO4" s="1"/>
      <c r="NJP4" s="1"/>
      <c r="NJQ4" s="1"/>
      <c r="NJR4" s="1"/>
      <c r="NJS4" s="1"/>
      <c r="NJT4" s="1"/>
      <c r="NJU4" s="1"/>
      <c r="NJV4" s="1"/>
      <c r="NJW4" s="1"/>
      <c r="NJX4" s="1"/>
      <c r="NJY4" s="1"/>
      <c r="NJZ4" s="1"/>
      <c r="NKA4" s="1"/>
      <c r="NKB4" s="1"/>
      <c r="NKC4" s="1"/>
      <c r="NKD4" s="1"/>
      <c r="NKE4" s="1"/>
      <c r="NKF4" s="1"/>
      <c r="NKG4" s="1"/>
      <c r="NKH4" s="1"/>
      <c r="NKI4" s="1"/>
      <c r="NKJ4" s="1"/>
      <c r="NKK4" s="1"/>
      <c r="NKL4" s="1"/>
      <c r="NKM4" s="1"/>
      <c r="NKN4" s="1"/>
      <c r="NKO4" s="1"/>
      <c r="NKP4" s="1"/>
      <c r="NKQ4" s="1"/>
      <c r="NKR4" s="1"/>
      <c r="NKS4" s="1"/>
      <c r="NKT4" s="1"/>
      <c r="NKU4" s="1"/>
      <c r="NKV4" s="1"/>
      <c r="NKW4" s="1"/>
      <c r="NKX4" s="1"/>
      <c r="NKY4" s="1"/>
      <c r="NKZ4" s="1"/>
      <c r="NLA4" s="1"/>
      <c r="NLB4" s="1"/>
      <c r="NLC4" s="1"/>
      <c r="NLD4" s="1"/>
      <c r="NLE4" s="1"/>
      <c r="NLF4" s="1"/>
      <c r="NLG4" s="1"/>
      <c r="NLH4" s="1"/>
      <c r="NLI4" s="1"/>
      <c r="NLJ4" s="1"/>
      <c r="NLK4" s="1"/>
      <c r="NLL4" s="1"/>
      <c r="NLM4" s="1"/>
      <c r="NLN4" s="1"/>
      <c r="NLO4" s="1"/>
      <c r="NLP4" s="1"/>
      <c r="NLQ4" s="1"/>
      <c r="NLR4" s="1"/>
      <c r="NLS4" s="1"/>
      <c r="NLT4" s="1"/>
      <c r="NLU4" s="1"/>
      <c r="NLV4" s="1"/>
      <c r="NLW4" s="1"/>
      <c r="NLX4" s="1"/>
      <c r="NLY4" s="1"/>
      <c r="NLZ4" s="1"/>
      <c r="NMA4" s="1"/>
      <c r="NMB4" s="1"/>
      <c r="NMC4" s="1"/>
      <c r="NMD4" s="1"/>
      <c r="NME4" s="1"/>
      <c r="NMF4" s="1"/>
      <c r="NMG4" s="1"/>
      <c r="NMH4" s="1"/>
      <c r="NMI4" s="1"/>
      <c r="NMJ4" s="1"/>
      <c r="NMK4" s="1"/>
      <c r="NML4" s="1"/>
      <c r="NMM4" s="1"/>
      <c r="NMN4" s="1"/>
      <c r="NMO4" s="1"/>
      <c r="NMP4" s="1"/>
      <c r="NMQ4" s="1"/>
      <c r="NMR4" s="1"/>
      <c r="NMS4" s="1"/>
      <c r="NMT4" s="1"/>
      <c r="NMU4" s="1"/>
      <c r="NMV4" s="1"/>
      <c r="NMW4" s="1"/>
      <c r="NMX4" s="1"/>
      <c r="NMY4" s="1"/>
      <c r="NMZ4" s="1"/>
      <c r="NNA4" s="1"/>
      <c r="NNB4" s="1"/>
      <c r="NNC4" s="1"/>
      <c r="NND4" s="1"/>
      <c r="NNE4" s="1"/>
      <c r="NNF4" s="1"/>
      <c r="NNG4" s="1"/>
      <c r="NNH4" s="1"/>
      <c r="NNI4" s="1"/>
      <c r="NNJ4" s="1"/>
      <c r="NNK4" s="1"/>
      <c r="NNL4" s="1"/>
      <c r="NNM4" s="1"/>
      <c r="NNN4" s="1"/>
      <c r="NNO4" s="1"/>
      <c r="NNP4" s="1"/>
      <c r="NNQ4" s="1"/>
      <c r="NNR4" s="1"/>
      <c r="NNS4" s="1"/>
      <c r="NNT4" s="1"/>
      <c r="NNU4" s="1"/>
      <c r="NNV4" s="1"/>
      <c r="NNW4" s="1"/>
      <c r="NNX4" s="1"/>
      <c r="NNY4" s="1"/>
      <c r="NNZ4" s="1"/>
      <c r="NOA4" s="1"/>
      <c r="NOB4" s="1"/>
      <c r="NOC4" s="1"/>
      <c r="NOD4" s="1"/>
      <c r="NOE4" s="1"/>
      <c r="NOF4" s="1"/>
      <c r="NOG4" s="1"/>
      <c r="NOH4" s="1"/>
      <c r="NOI4" s="1"/>
      <c r="NOJ4" s="1"/>
      <c r="NOK4" s="1"/>
      <c r="NOL4" s="1"/>
      <c r="NOM4" s="1"/>
      <c r="NON4" s="1"/>
      <c r="NOO4" s="1"/>
      <c r="NOP4" s="1"/>
      <c r="NOQ4" s="1"/>
      <c r="NOR4" s="1"/>
      <c r="NOS4" s="1"/>
      <c r="NOT4" s="1"/>
      <c r="NOU4" s="1"/>
      <c r="NOV4" s="1"/>
      <c r="NOW4" s="1"/>
      <c r="NOX4" s="1"/>
      <c r="NOY4" s="1"/>
      <c r="NOZ4" s="1"/>
      <c r="NPA4" s="1"/>
      <c r="NPB4" s="1"/>
      <c r="NPC4" s="1"/>
      <c r="NPD4" s="1"/>
      <c r="NPE4" s="1"/>
      <c r="NPF4" s="1"/>
      <c r="NPG4" s="1"/>
      <c r="NPH4" s="1"/>
      <c r="NPI4" s="1"/>
      <c r="NPJ4" s="1"/>
      <c r="NPK4" s="1"/>
      <c r="NPL4" s="1"/>
      <c r="NPM4" s="1"/>
      <c r="NPN4" s="1"/>
      <c r="NPO4" s="1"/>
      <c r="NPP4" s="1"/>
      <c r="NPQ4" s="1"/>
      <c r="NPR4" s="1"/>
      <c r="NPS4" s="1"/>
      <c r="NPT4" s="1"/>
      <c r="NPU4" s="1"/>
      <c r="NPV4" s="1"/>
      <c r="NPW4" s="1"/>
      <c r="NPX4" s="1"/>
      <c r="NPY4" s="1"/>
      <c r="NPZ4" s="1"/>
      <c r="NQA4" s="1"/>
      <c r="NQB4" s="1"/>
      <c r="NQC4" s="1"/>
      <c r="NQD4" s="1"/>
      <c r="NQE4" s="1"/>
      <c r="NQF4" s="1"/>
      <c r="NQG4" s="1"/>
      <c r="NQH4" s="1"/>
      <c r="NQI4" s="1"/>
      <c r="NQJ4" s="1"/>
      <c r="NQK4" s="1"/>
      <c r="NQL4" s="1"/>
      <c r="NQM4" s="1"/>
      <c r="NQN4" s="1"/>
      <c r="NQO4" s="1"/>
      <c r="NQP4" s="1"/>
      <c r="NQQ4" s="1"/>
      <c r="NQR4" s="1"/>
      <c r="NQS4" s="1"/>
      <c r="NQT4" s="1"/>
      <c r="NQU4" s="1"/>
      <c r="NQV4" s="1"/>
      <c r="NQW4" s="1"/>
      <c r="NQX4" s="1"/>
      <c r="NQY4" s="1"/>
      <c r="NQZ4" s="1"/>
      <c r="NRA4" s="1"/>
      <c r="NRB4" s="1"/>
      <c r="NRC4" s="1"/>
      <c r="NRD4" s="1"/>
      <c r="NRE4" s="1"/>
      <c r="NRF4" s="1"/>
      <c r="NRG4" s="1"/>
      <c r="NRH4" s="1"/>
      <c r="NRI4" s="1"/>
      <c r="NRJ4" s="1"/>
      <c r="NRK4" s="1"/>
      <c r="NRL4" s="1"/>
      <c r="NRM4" s="1"/>
      <c r="NRN4" s="1"/>
      <c r="NRO4" s="1"/>
      <c r="NRP4" s="1"/>
      <c r="NRQ4" s="1"/>
      <c r="NRR4" s="1"/>
      <c r="NRS4" s="1"/>
      <c r="NRT4" s="1"/>
      <c r="NRU4" s="1"/>
      <c r="NRV4" s="1"/>
      <c r="NRW4" s="1"/>
      <c r="NRX4" s="1"/>
      <c r="NRY4" s="1"/>
      <c r="NRZ4" s="1"/>
      <c r="NSA4" s="1"/>
      <c r="NSB4" s="1"/>
      <c r="NSC4" s="1"/>
      <c r="NSD4" s="1"/>
      <c r="NSE4" s="1"/>
      <c r="NSF4" s="1"/>
      <c r="NSG4" s="1"/>
      <c r="NSH4" s="1"/>
      <c r="NSI4" s="1"/>
      <c r="NSJ4" s="1"/>
      <c r="NSK4" s="1"/>
      <c r="NSL4" s="1"/>
      <c r="NSM4" s="1"/>
      <c r="NSN4" s="1"/>
      <c r="NSO4" s="1"/>
      <c r="NSP4" s="1"/>
      <c r="NSQ4" s="1"/>
      <c r="NSR4" s="1"/>
      <c r="NSS4" s="1"/>
      <c r="NST4" s="1"/>
      <c r="NSU4" s="1"/>
      <c r="NSV4" s="1"/>
      <c r="NSW4" s="1"/>
      <c r="NSX4" s="1"/>
      <c r="NSY4" s="1"/>
      <c r="NSZ4" s="1"/>
      <c r="NTA4" s="1"/>
      <c r="NTB4" s="1"/>
      <c r="NTC4" s="1"/>
      <c r="NTD4" s="1"/>
      <c r="NTE4" s="1"/>
      <c r="NTF4" s="1"/>
      <c r="NTG4" s="1"/>
      <c r="NTH4" s="1"/>
      <c r="NTI4" s="1"/>
      <c r="NTJ4" s="1"/>
      <c r="NTK4" s="1"/>
      <c r="NTL4" s="1"/>
      <c r="NTM4" s="1"/>
      <c r="NTN4" s="1"/>
      <c r="NTO4" s="1"/>
      <c r="NTP4" s="1"/>
      <c r="NTQ4" s="1"/>
      <c r="NTR4" s="1"/>
      <c r="NTS4" s="1"/>
      <c r="NTT4" s="1"/>
      <c r="NTU4" s="1"/>
      <c r="NTV4" s="1"/>
      <c r="NTW4" s="1"/>
      <c r="NTX4" s="1"/>
      <c r="NTY4" s="1"/>
      <c r="NTZ4" s="1"/>
      <c r="NUA4" s="1"/>
      <c r="NUB4" s="1"/>
      <c r="NUC4" s="1"/>
      <c r="NUD4" s="1"/>
      <c r="NUE4" s="1"/>
      <c r="NUF4" s="1"/>
      <c r="NUG4" s="1"/>
      <c r="NUH4" s="1"/>
      <c r="NUI4" s="1"/>
      <c r="NUJ4" s="1"/>
      <c r="NUK4" s="1"/>
      <c r="NUL4" s="1"/>
      <c r="NUM4" s="1"/>
      <c r="NUN4" s="1"/>
      <c r="NUO4" s="1"/>
      <c r="NUP4" s="1"/>
      <c r="NUQ4" s="1"/>
      <c r="NUR4" s="1"/>
      <c r="NUS4" s="1"/>
      <c r="NUT4" s="1"/>
      <c r="NUU4" s="1"/>
      <c r="NUV4" s="1"/>
      <c r="NUW4" s="1"/>
      <c r="NUX4" s="1"/>
      <c r="NUY4" s="1"/>
      <c r="NUZ4" s="1"/>
      <c r="NVA4" s="1"/>
      <c r="NVB4" s="1"/>
      <c r="NVC4" s="1"/>
      <c r="NVD4" s="1"/>
      <c r="NVE4" s="1"/>
      <c r="NVF4" s="1"/>
      <c r="NVG4" s="1"/>
      <c r="NVH4" s="1"/>
      <c r="NVI4" s="1"/>
      <c r="NVJ4" s="1"/>
      <c r="NVK4" s="1"/>
      <c r="NVL4" s="1"/>
      <c r="NVM4" s="1"/>
      <c r="NVN4" s="1"/>
      <c r="NVO4" s="1"/>
      <c r="NVP4" s="1"/>
      <c r="NVQ4" s="1"/>
      <c r="NVR4" s="1"/>
      <c r="NVS4" s="1"/>
      <c r="NVT4" s="1"/>
      <c r="NVU4" s="1"/>
      <c r="NVV4" s="1"/>
      <c r="NVW4" s="1"/>
      <c r="NVX4" s="1"/>
      <c r="NVY4" s="1"/>
      <c r="NVZ4" s="1"/>
      <c r="NWA4" s="1"/>
      <c r="NWB4" s="1"/>
      <c r="NWC4" s="1"/>
      <c r="NWD4" s="1"/>
      <c r="NWE4" s="1"/>
      <c r="NWF4" s="1"/>
      <c r="NWG4" s="1"/>
      <c r="NWH4" s="1"/>
      <c r="NWI4" s="1"/>
      <c r="NWJ4" s="1"/>
      <c r="NWK4" s="1"/>
      <c r="NWL4" s="1"/>
      <c r="NWM4" s="1"/>
      <c r="NWN4" s="1"/>
      <c r="NWO4" s="1"/>
      <c r="NWP4" s="1"/>
      <c r="NWQ4" s="1"/>
      <c r="NWR4" s="1"/>
      <c r="NWS4" s="1"/>
      <c r="NWT4" s="1"/>
      <c r="NWU4" s="1"/>
      <c r="NWV4" s="1"/>
      <c r="NWW4" s="1"/>
      <c r="NWX4" s="1"/>
      <c r="NWY4" s="1"/>
      <c r="NWZ4" s="1"/>
      <c r="NXA4" s="1"/>
      <c r="NXB4" s="1"/>
      <c r="NXC4" s="1"/>
      <c r="NXD4" s="1"/>
      <c r="NXE4" s="1"/>
      <c r="NXF4" s="1"/>
      <c r="NXG4" s="1"/>
      <c r="NXH4" s="1"/>
      <c r="NXI4" s="1"/>
      <c r="NXJ4" s="1"/>
      <c r="NXK4" s="1"/>
      <c r="NXL4" s="1"/>
      <c r="NXM4" s="1"/>
      <c r="NXN4" s="1"/>
      <c r="NXO4" s="1"/>
      <c r="NXP4" s="1"/>
      <c r="NXQ4" s="1"/>
      <c r="NXR4" s="1"/>
      <c r="NXS4" s="1"/>
      <c r="NXT4" s="1"/>
      <c r="NXU4" s="1"/>
      <c r="NXV4" s="1"/>
      <c r="NXW4" s="1"/>
      <c r="NXX4" s="1"/>
      <c r="NXY4" s="1"/>
      <c r="NXZ4" s="1"/>
      <c r="NYA4" s="1"/>
      <c r="NYB4" s="1"/>
      <c r="NYC4" s="1"/>
      <c r="NYD4" s="1"/>
      <c r="NYE4" s="1"/>
      <c r="NYF4" s="1"/>
      <c r="NYG4" s="1"/>
      <c r="NYH4" s="1"/>
      <c r="NYI4" s="1"/>
      <c r="NYJ4" s="1"/>
      <c r="NYK4" s="1"/>
      <c r="NYL4" s="1"/>
      <c r="NYM4" s="1"/>
      <c r="NYN4" s="1"/>
      <c r="NYO4" s="1"/>
      <c r="NYP4" s="1"/>
      <c r="NYQ4" s="1"/>
      <c r="NYR4" s="1"/>
      <c r="NYS4" s="1"/>
      <c r="NYT4" s="1"/>
      <c r="NYU4" s="1"/>
      <c r="NYV4" s="1"/>
      <c r="NYW4" s="1"/>
      <c r="NYX4" s="1"/>
      <c r="NYY4" s="1"/>
      <c r="NYZ4" s="1"/>
      <c r="NZA4" s="1"/>
      <c r="NZB4" s="1"/>
      <c r="NZC4" s="1"/>
      <c r="NZD4" s="1"/>
      <c r="NZE4" s="1"/>
      <c r="NZF4" s="1"/>
      <c r="NZG4" s="1"/>
      <c r="NZH4" s="1"/>
      <c r="NZI4" s="1"/>
      <c r="NZJ4" s="1"/>
      <c r="NZK4" s="1"/>
      <c r="NZL4" s="1"/>
      <c r="NZM4" s="1"/>
      <c r="NZN4" s="1"/>
      <c r="NZO4" s="1"/>
      <c r="NZP4" s="1"/>
      <c r="NZQ4" s="1"/>
      <c r="NZR4" s="1"/>
      <c r="NZS4" s="1"/>
      <c r="NZT4" s="1"/>
      <c r="NZU4" s="1"/>
      <c r="NZV4" s="1"/>
      <c r="NZW4" s="1"/>
      <c r="NZX4" s="1"/>
      <c r="NZY4" s="1"/>
      <c r="NZZ4" s="1"/>
      <c r="OAA4" s="1"/>
      <c r="OAB4" s="1"/>
      <c r="OAC4" s="1"/>
      <c r="OAD4" s="1"/>
      <c r="OAE4" s="1"/>
      <c r="OAF4" s="1"/>
      <c r="OAG4" s="1"/>
      <c r="OAH4" s="1"/>
      <c r="OAI4" s="1"/>
      <c r="OAJ4" s="1"/>
      <c r="OAK4" s="1"/>
      <c r="OAL4" s="1"/>
      <c r="OAM4" s="1"/>
      <c r="OAN4" s="1"/>
      <c r="OAO4" s="1"/>
      <c r="OAP4" s="1"/>
      <c r="OAQ4" s="1"/>
      <c r="OAR4" s="1"/>
      <c r="OAS4" s="1"/>
      <c r="OAT4" s="1"/>
      <c r="OAU4" s="1"/>
      <c r="OAV4" s="1"/>
      <c r="OAW4" s="1"/>
      <c r="OAX4" s="1"/>
      <c r="OAY4" s="1"/>
      <c r="OAZ4" s="1"/>
      <c r="OBA4" s="1"/>
      <c r="OBB4" s="1"/>
      <c r="OBC4" s="1"/>
      <c r="OBD4" s="1"/>
      <c r="OBE4" s="1"/>
      <c r="OBF4" s="1"/>
      <c r="OBG4" s="1"/>
      <c r="OBH4" s="1"/>
      <c r="OBI4" s="1"/>
      <c r="OBJ4" s="1"/>
      <c r="OBK4" s="1"/>
      <c r="OBL4" s="1"/>
      <c r="OBM4" s="1"/>
      <c r="OBN4" s="1"/>
      <c r="OBO4" s="1"/>
      <c r="OBP4" s="1"/>
      <c r="OBQ4" s="1"/>
      <c r="OBR4" s="1"/>
      <c r="OBS4" s="1"/>
      <c r="OBT4" s="1"/>
      <c r="OBU4" s="1"/>
      <c r="OBV4" s="1"/>
      <c r="OBW4" s="1"/>
      <c r="OBX4" s="1"/>
      <c r="OBY4" s="1"/>
      <c r="OBZ4" s="1"/>
      <c r="OCA4" s="1"/>
      <c r="OCB4" s="1"/>
      <c r="OCC4" s="1"/>
      <c r="OCD4" s="1"/>
      <c r="OCE4" s="1"/>
      <c r="OCF4" s="1"/>
      <c r="OCG4" s="1"/>
      <c r="OCH4" s="1"/>
      <c r="OCI4" s="1"/>
      <c r="OCJ4" s="1"/>
      <c r="OCK4" s="1"/>
      <c r="OCL4" s="1"/>
      <c r="OCM4" s="1"/>
      <c r="OCN4" s="1"/>
      <c r="OCO4" s="1"/>
      <c r="OCP4" s="1"/>
      <c r="OCQ4" s="1"/>
      <c r="OCR4" s="1"/>
      <c r="OCS4" s="1"/>
      <c r="OCT4" s="1"/>
      <c r="OCU4" s="1"/>
      <c r="OCV4" s="1"/>
      <c r="OCW4" s="1"/>
      <c r="OCX4" s="1"/>
      <c r="OCY4" s="1"/>
      <c r="OCZ4" s="1"/>
      <c r="ODA4" s="1"/>
      <c r="ODB4" s="1"/>
      <c r="ODC4" s="1"/>
      <c r="ODD4" s="1"/>
      <c r="ODE4" s="1"/>
      <c r="ODF4" s="1"/>
      <c r="ODG4" s="1"/>
      <c r="ODH4" s="1"/>
      <c r="ODI4" s="1"/>
      <c r="ODJ4" s="1"/>
      <c r="ODK4" s="1"/>
      <c r="ODL4" s="1"/>
      <c r="ODM4" s="1"/>
      <c r="ODN4" s="1"/>
      <c r="ODO4" s="1"/>
      <c r="ODP4" s="1"/>
      <c r="ODQ4" s="1"/>
      <c r="ODR4" s="1"/>
      <c r="ODS4" s="1"/>
      <c r="ODT4" s="1"/>
      <c r="ODU4" s="1"/>
      <c r="ODV4" s="1"/>
      <c r="ODW4" s="1"/>
      <c r="ODX4" s="1"/>
      <c r="ODY4" s="1"/>
      <c r="ODZ4" s="1"/>
      <c r="OEA4" s="1"/>
      <c r="OEB4" s="1"/>
      <c r="OEC4" s="1"/>
      <c r="OED4" s="1"/>
      <c r="OEE4" s="1"/>
      <c r="OEF4" s="1"/>
      <c r="OEG4" s="1"/>
      <c r="OEH4" s="1"/>
      <c r="OEI4" s="1"/>
      <c r="OEJ4" s="1"/>
      <c r="OEK4" s="1"/>
      <c r="OEL4" s="1"/>
      <c r="OEM4" s="1"/>
      <c r="OEN4" s="1"/>
      <c r="OEO4" s="1"/>
      <c r="OEP4" s="1"/>
      <c r="OEQ4" s="1"/>
      <c r="OER4" s="1"/>
      <c r="OES4" s="1"/>
      <c r="OET4" s="1"/>
      <c r="OEU4" s="1"/>
      <c r="OEV4" s="1"/>
      <c r="OEW4" s="1"/>
      <c r="OEX4" s="1"/>
      <c r="OEY4" s="1"/>
      <c r="OEZ4" s="1"/>
      <c r="OFA4" s="1"/>
      <c r="OFB4" s="1"/>
      <c r="OFC4" s="1"/>
      <c r="OFD4" s="1"/>
      <c r="OFE4" s="1"/>
      <c r="OFF4" s="1"/>
      <c r="OFG4" s="1"/>
      <c r="OFH4" s="1"/>
      <c r="OFI4" s="1"/>
      <c r="OFJ4" s="1"/>
      <c r="OFK4" s="1"/>
      <c r="OFL4" s="1"/>
      <c r="OFM4" s="1"/>
      <c r="OFN4" s="1"/>
      <c r="OFO4" s="1"/>
      <c r="OFP4" s="1"/>
      <c r="OFQ4" s="1"/>
      <c r="OFR4" s="1"/>
      <c r="OFS4" s="1"/>
      <c r="OFT4" s="1"/>
      <c r="OFU4" s="1"/>
      <c r="OFV4" s="1"/>
      <c r="OFW4" s="1"/>
      <c r="OFX4" s="1"/>
      <c r="OFY4" s="1"/>
      <c r="OFZ4" s="1"/>
      <c r="OGA4" s="1"/>
      <c r="OGB4" s="1"/>
      <c r="OGC4" s="1"/>
      <c r="OGD4" s="1"/>
      <c r="OGE4" s="1"/>
      <c r="OGF4" s="1"/>
      <c r="OGG4" s="1"/>
      <c r="OGH4" s="1"/>
      <c r="OGI4" s="1"/>
      <c r="OGJ4" s="1"/>
      <c r="OGK4" s="1"/>
      <c r="OGL4" s="1"/>
      <c r="OGM4" s="1"/>
      <c r="OGN4" s="1"/>
      <c r="OGO4" s="1"/>
      <c r="OGP4" s="1"/>
      <c r="OGQ4" s="1"/>
      <c r="OGR4" s="1"/>
      <c r="OGS4" s="1"/>
      <c r="OGT4" s="1"/>
      <c r="OGU4" s="1"/>
      <c r="OGV4" s="1"/>
      <c r="OGW4" s="1"/>
      <c r="OGX4" s="1"/>
      <c r="OGY4" s="1"/>
      <c r="OGZ4" s="1"/>
      <c r="OHA4" s="1"/>
      <c r="OHB4" s="1"/>
      <c r="OHC4" s="1"/>
      <c r="OHD4" s="1"/>
      <c r="OHE4" s="1"/>
      <c r="OHF4" s="1"/>
      <c r="OHG4" s="1"/>
      <c r="OHH4" s="1"/>
      <c r="OHI4" s="1"/>
      <c r="OHJ4" s="1"/>
      <c r="OHK4" s="1"/>
      <c r="OHL4" s="1"/>
      <c r="OHM4" s="1"/>
      <c r="OHN4" s="1"/>
      <c r="OHO4" s="1"/>
      <c r="OHP4" s="1"/>
      <c r="OHQ4" s="1"/>
      <c r="OHR4" s="1"/>
      <c r="OHS4" s="1"/>
      <c r="OHT4" s="1"/>
      <c r="OHU4" s="1"/>
      <c r="OHV4" s="1"/>
      <c r="OHW4" s="1"/>
      <c r="OHX4" s="1"/>
      <c r="OHY4" s="1"/>
      <c r="OHZ4" s="1"/>
      <c r="OIA4" s="1"/>
      <c r="OIB4" s="1"/>
      <c r="OIC4" s="1"/>
      <c r="OID4" s="1"/>
      <c r="OIE4" s="1"/>
      <c r="OIF4" s="1"/>
      <c r="OIG4" s="1"/>
      <c r="OIH4" s="1"/>
      <c r="OII4" s="1"/>
      <c r="OIJ4" s="1"/>
      <c r="OIK4" s="1"/>
      <c r="OIL4" s="1"/>
      <c r="OIM4" s="1"/>
      <c r="OIN4" s="1"/>
      <c r="OIO4" s="1"/>
      <c r="OIP4" s="1"/>
      <c r="OIQ4" s="1"/>
      <c r="OIR4" s="1"/>
      <c r="OIS4" s="1"/>
      <c r="OIT4" s="1"/>
      <c r="OIU4" s="1"/>
      <c r="OIV4" s="1"/>
      <c r="OIW4" s="1"/>
      <c r="OIX4" s="1"/>
      <c r="OIY4" s="1"/>
      <c r="OIZ4" s="1"/>
      <c r="OJA4" s="1"/>
      <c r="OJB4" s="1"/>
      <c r="OJC4" s="1"/>
      <c r="OJD4" s="1"/>
      <c r="OJE4" s="1"/>
      <c r="OJF4" s="1"/>
      <c r="OJG4" s="1"/>
      <c r="OJH4" s="1"/>
      <c r="OJI4" s="1"/>
      <c r="OJJ4" s="1"/>
      <c r="OJK4" s="1"/>
      <c r="OJL4" s="1"/>
      <c r="OJM4" s="1"/>
      <c r="OJN4" s="1"/>
      <c r="OJO4" s="1"/>
      <c r="OJP4" s="1"/>
      <c r="OJQ4" s="1"/>
      <c r="OJR4" s="1"/>
      <c r="OJS4" s="1"/>
      <c r="OJT4" s="1"/>
      <c r="OJU4" s="1"/>
      <c r="OJV4" s="1"/>
      <c r="OJW4" s="1"/>
      <c r="OJX4" s="1"/>
      <c r="OJY4" s="1"/>
      <c r="OJZ4" s="1"/>
      <c r="OKA4" s="1"/>
      <c r="OKB4" s="1"/>
      <c r="OKC4" s="1"/>
      <c r="OKD4" s="1"/>
      <c r="OKE4" s="1"/>
      <c r="OKF4" s="1"/>
      <c r="OKG4" s="1"/>
      <c r="OKH4" s="1"/>
      <c r="OKI4" s="1"/>
      <c r="OKJ4" s="1"/>
      <c r="OKK4" s="1"/>
      <c r="OKL4" s="1"/>
      <c r="OKM4" s="1"/>
      <c r="OKN4" s="1"/>
      <c r="OKO4" s="1"/>
      <c r="OKP4" s="1"/>
      <c r="OKQ4" s="1"/>
      <c r="OKR4" s="1"/>
      <c r="OKS4" s="1"/>
      <c r="OKT4" s="1"/>
      <c r="OKU4" s="1"/>
      <c r="OKV4" s="1"/>
      <c r="OKW4" s="1"/>
      <c r="OKX4" s="1"/>
      <c r="OKY4" s="1"/>
      <c r="OKZ4" s="1"/>
      <c r="OLA4" s="1"/>
      <c r="OLB4" s="1"/>
      <c r="OLC4" s="1"/>
      <c r="OLD4" s="1"/>
      <c r="OLE4" s="1"/>
      <c r="OLF4" s="1"/>
      <c r="OLG4" s="1"/>
      <c r="OLH4" s="1"/>
      <c r="OLI4" s="1"/>
      <c r="OLJ4" s="1"/>
      <c r="OLK4" s="1"/>
      <c r="OLL4" s="1"/>
      <c r="OLM4" s="1"/>
      <c r="OLN4" s="1"/>
      <c r="OLO4" s="1"/>
      <c r="OLP4" s="1"/>
      <c r="OLQ4" s="1"/>
      <c r="OLR4" s="1"/>
      <c r="OLS4" s="1"/>
      <c r="OLT4" s="1"/>
      <c r="OLU4" s="1"/>
      <c r="OLV4" s="1"/>
      <c r="OLW4" s="1"/>
      <c r="OLX4" s="1"/>
      <c r="OLY4" s="1"/>
      <c r="OLZ4" s="1"/>
      <c r="OMA4" s="1"/>
      <c r="OMB4" s="1"/>
      <c r="OMC4" s="1"/>
      <c r="OMD4" s="1"/>
      <c r="OME4" s="1"/>
      <c r="OMF4" s="1"/>
      <c r="OMG4" s="1"/>
      <c r="OMH4" s="1"/>
      <c r="OMI4" s="1"/>
      <c r="OMJ4" s="1"/>
      <c r="OMK4" s="1"/>
      <c r="OML4" s="1"/>
      <c r="OMM4" s="1"/>
      <c r="OMN4" s="1"/>
      <c r="OMO4" s="1"/>
      <c r="OMP4" s="1"/>
      <c r="OMQ4" s="1"/>
      <c r="OMR4" s="1"/>
      <c r="OMS4" s="1"/>
      <c r="OMT4" s="1"/>
      <c r="OMU4" s="1"/>
      <c r="OMV4" s="1"/>
      <c r="OMW4" s="1"/>
      <c r="OMX4" s="1"/>
      <c r="OMY4" s="1"/>
      <c r="OMZ4" s="1"/>
      <c r="ONA4" s="1"/>
      <c r="ONB4" s="1"/>
      <c r="ONC4" s="1"/>
      <c r="OND4" s="1"/>
      <c r="ONE4" s="1"/>
      <c r="ONF4" s="1"/>
      <c r="ONG4" s="1"/>
      <c r="ONH4" s="1"/>
      <c r="ONI4" s="1"/>
      <c r="ONJ4" s="1"/>
      <c r="ONK4" s="1"/>
      <c r="ONL4" s="1"/>
      <c r="ONM4" s="1"/>
      <c r="ONN4" s="1"/>
      <c r="ONO4" s="1"/>
      <c r="ONP4" s="1"/>
      <c r="ONQ4" s="1"/>
      <c r="ONR4" s="1"/>
      <c r="ONS4" s="1"/>
      <c r="ONT4" s="1"/>
      <c r="ONU4" s="1"/>
      <c r="ONV4" s="1"/>
      <c r="ONW4" s="1"/>
      <c r="ONX4" s="1"/>
      <c r="ONY4" s="1"/>
      <c r="ONZ4" s="1"/>
      <c r="OOA4" s="1"/>
      <c r="OOB4" s="1"/>
      <c r="OOC4" s="1"/>
      <c r="OOD4" s="1"/>
      <c r="OOE4" s="1"/>
      <c r="OOF4" s="1"/>
      <c r="OOG4" s="1"/>
      <c r="OOH4" s="1"/>
      <c r="OOI4" s="1"/>
      <c r="OOJ4" s="1"/>
      <c r="OOK4" s="1"/>
      <c r="OOL4" s="1"/>
      <c r="OOM4" s="1"/>
      <c r="OON4" s="1"/>
      <c r="OOO4" s="1"/>
      <c r="OOP4" s="1"/>
      <c r="OOQ4" s="1"/>
      <c r="OOR4" s="1"/>
      <c r="OOS4" s="1"/>
      <c r="OOT4" s="1"/>
      <c r="OOU4" s="1"/>
      <c r="OOV4" s="1"/>
      <c r="OOW4" s="1"/>
      <c r="OOX4" s="1"/>
      <c r="OOY4" s="1"/>
      <c r="OOZ4" s="1"/>
      <c r="OPA4" s="1"/>
      <c r="OPB4" s="1"/>
      <c r="OPC4" s="1"/>
      <c r="OPD4" s="1"/>
      <c r="OPE4" s="1"/>
      <c r="OPF4" s="1"/>
      <c r="OPG4" s="1"/>
      <c r="OPH4" s="1"/>
      <c r="OPI4" s="1"/>
      <c r="OPJ4" s="1"/>
      <c r="OPK4" s="1"/>
      <c r="OPL4" s="1"/>
      <c r="OPM4" s="1"/>
      <c r="OPN4" s="1"/>
      <c r="OPO4" s="1"/>
      <c r="OPP4" s="1"/>
      <c r="OPQ4" s="1"/>
      <c r="OPR4" s="1"/>
      <c r="OPS4" s="1"/>
      <c r="OPT4" s="1"/>
      <c r="OPU4" s="1"/>
      <c r="OPV4" s="1"/>
      <c r="OPW4" s="1"/>
      <c r="OPX4" s="1"/>
      <c r="OPY4" s="1"/>
      <c r="OPZ4" s="1"/>
      <c r="OQA4" s="1"/>
      <c r="OQB4" s="1"/>
      <c r="OQC4" s="1"/>
      <c r="OQD4" s="1"/>
      <c r="OQE4" s="1"/>
      <c r="OQF4" s="1"/>
      <c r="OQG4" s="1"/>
      <c r="OQH4" s="1"/>
      <c r="OQI4" s="1"/>
      <c r="OQJ4" s="1"/>
      <c r="OQK4" s="1"/>
      <c r="OQL4" s="1"/>
      <c r="OQM4" s="1"/>
      <c r="OQN4" s="1"/>
      <c r="OQO4" s="1"/>
      <c r="OQP4" s="1"/>
      <c r="OQQ4" s="1"/>
      <c r="OQR4" s="1"/>
      <c r="OQS4" s="1"/>
      <c r="OQT4" s="1"/>
      <c r="OQU4" s="1"/>
      <c r="OQV4" s="1"/>
      <c r="OQW4" s="1"/>
      <c r="OQX4" s="1"/>
      <c r="OQY4" s="1"/>
      <c r="OQZ4" s="1"/>
      <c r="ORA4" s="1"/>
      <c r="ORB4" s="1"/>
      <c r="ORC4" s="1"/>
      <c r="ORD4" s="1"/>
      <c r="ORE4" s="1"/>
      <c r="ORF4" s="1"/>
      <c r="ORG4" s="1"/>
      <c r="ORH4" s="1"/>
      <c r="ORI4" s="1"/>
      <c r="ORJ4" s="1"/>
      <c r="ORK4" s="1"/>
      <c r="ORL4" s="1"/>
      <c r="ORM4" s="1"/>
      <c r="ORN4" s="1"/>
      <c r="ORO4" s="1"/>
      <c r="ORP4" s="1"/>
      <c r="ORQ4" s="1"/>
      <c r="ORR4" s="1"/>
      <c r="ORS4" s="1"/>
      <c r="ORT4" s="1"/>
      <c r="ORU4" s="1"/>
      <c r="ORV4" s="1"/>
      <c r="ORW4" s="1"/>
      <c r="ORX4" s="1"/>
      <c r="ORY4" s="1"/>
      <c r="ORZ4" s="1"/>
      <c r="OSA4" s="1"/>
      <c r="OSB4" s="1"/>
      <c r="OSC4" s="1"/>
      <c r="OSD4" s="1"/>
      <c r="OSE4" s="1"/>
      <c r="OSF4" s="1"/>
      <c r="OSG4" s="1"/>
      <c r="OSH4" s="1"/>
      <c r="OSI4" s="1"/>
      <c r="OSJ4" s="1"/>
      <c r="OSK4" s="1"/>
      <c r="OSL4" s="1"/>
      <c r="OSM4" s="1"/>
      <c r="OSN4" s="1"/>
      <c r="OSO4" s="1"/>
      <c r="OSP4" s="1"/>
      <c r="OSQ4" s="1"/>
      <c r="OSR4" s="1"/>
      <c r="OSS4" s="1"/>
      <c r="OST4" s="1"/>
      <c r="OSU4" s="1"/>
      <c r="OSV4" s="1"/>
      <c r="OSW4" s="1"/>
      <c r="OSX4" s="1"/>
      <c r="OSY4" s="1"/>
      <c r="OSZ4" s="1"/>
      <c r="OTA4" s="1"/>
      <c r="OTB4" s="1"/>
      <c r="OTC4" s="1"/>
      <c r="OTD4" s="1"/>
      <c r="OTE4" s="1"/>
      <c r="OTF4" s="1"/>
      <c r="OTG4" s="1"/>
      <c r="OTH4" s="1"/>
      <c r="OTI4" s="1"/>
      <c r="OTJ4" s="1"/>
      <c r="OTK4" s="1"/>
      <c r="OTL4" s="1"/>
      <c r="OTM4" s="1"/>
      <c r="OTN4" s="1"/>
      <c r="OTO4" s="1"/>
      <c r="OTP4" s="1"/>
      <c r="OTQ4" s="1"/>
      <c r="OTR4" s="1"/>
      <c r="OTS4" s="1"/>
      <c r="OTT4" s="1"/>
      <c r="OTU4" s="1"/>
      <c r="OTV4" s="1"/>
      <c r="OTW4" s="1"/>
      <c r="OTX4" s="1"/>
      <c r="OTY4" s="1"/>
      <c r="OTZ4" s="1"/>
      <c r="OUA4" s="1"/>
      <c r="OUB4" s="1"/>
      <c r="OUC4" s="1"/>
      <c r="OUD4" s="1"/>
      <c r="OUE4" s="1"/>
      <c r="OUF4" s="1"/>
      <c r="OUG4" s="1"/>
      <c r="OUH4" s="1"/>
      <c r="OUI4" s="1"/>
      <c r="OUJ4" s="1"/>
      <c r="OUK4" s="1"/>
      <c r="OUL4" s="1"/>
      <c r="OUM4" s="1"/>
      <c r="OUN4" s="1"/>
      <c r="OUO4" s="1"/>
      <c r="OUP4" s="1"/>
      <c r="OUQ4" s="1"/>
      <c r="OUR4" s="1"/>
      <c r="OUS4" s="1"/>
      <c r="OUT4" s="1"/>
      <c r="OUU4" s="1"/>
      <c r="OUV4" s="1"/>
      <c r="OUW4" s="1"/>
      <c r="OUX4" s="1"/>
      <c r="OUY4" s="1"/>
      <c r="OUZ4" s="1"/>
      <c r="OVA4" s="1"/>
      <c r="OVB4" s="1"/>
      <c r="OVC4" s="1"/>
      <c r="OVD4" s="1"/>
      <c r="OVE4" s="1"/>
      <c r="OVF4" s="1"/>
      <c r="OVG4" s="1"/>
      <c r="OVH4" s="1"/>
      <c r="OVI4" s="1"/>
      <c r="OVJ4" s="1"/>
      <c r="OVK4" s="1"/>
      <c r="OVL4" s="1"/>
      <c r="OVM4" s="1"/>
      <c r="OVN4" s="1"/>
      <c r="OVO4" s="1"/>
      <c r="OVP4" s="1"/>
      <c r="OVQ4" s="1"/>
      <c r="OVR4" s="1"/>
      <c r="OVS4" s="1"/>
      <c r="OVT4" s="1"/>
      <c r="OVU4" s="1"/>
      <c r="OVV4" s="1"/>
      <c r="OVW4" s="1"/>
      <c r="OVX4" s="1"/>
      <c r="OVY4" s="1"/>
      <c r="OVZ4" s="1"/>
      <c r="OWA4" s="1"/>
      <c r="OWB4" s="1"/>
      <c r="OWC4" s="1"/>
      <c r="OWD4" s="1"/>
      <c r="OWE4" s="1"/>
      <c r="OWF4" s="1"/>
      <c r="OWG4" s="1"/>
      <c r="OWH4" s="1"/>
      <c r="OWI4" s="1"/>
      <c r="OWJ4" s="1"/>
      <c r="OWK4" s="1"/>
      <c r="OWL4" s="1"/>
      <c r="OWM4" s="1"/>
      <c r="OWN4" s="1"/>
      <c r="OWO4" s="1"/>
      <c r="OWP4" s="1"/>
      <c r="OWQ4" s="1"/>
      <c r="OWR4" s="1"/>
      <c r="OWS4" s="1"/>
      <c r="OWT4" s="1"/>
      <c r="OWU4" s="1"/>
      <c r="OWV4" s="1"/>
      <c r="OWW4" s="1"/>
      <c r="OWX4" s="1"/>
      <c r="OWY4" s="1"/>
      <c r="OWZ4" s="1"/>
      <c r="OXA4" s="1"/>
      <c r="OXB4" s="1"/>
      <c r="OXC4" s="1"/>
      <c r="OXD4" s="1"/>
      <c r="OXE4" s="1"/>
      <c r="OXF4" s="1"/>
      <c r="OXG4" s="1"/>
      <c r="OXH4" s="1"/>
      <c r="OXI4" s="1"/>
      <c r="OXJ4" s="1"/>
      <c r="OXK4" s="1"/>
      <c r="OXL4" s="1"/>
      <c r="OXM4" s="1"/>
      <c r="OXN4" s="1"/>
      <c r="OXO4" s="1"/>
      <c r="OXP4" s="1"/>
      <c r="OXQ4" s="1"/>
      <c r="OXR4" s="1"/>
      <c r="OXS4" s="1"/>
      <c r="OXT4" s="1"/>
      <c r="OXU4" s="1"/>
      <c r="OXV4" s="1"/>
      <c r="OXW4" s="1"/>
      <c r="OXX4" s="1"/>
      <c r="OXY4" s="1"/>
      <c r="OXZ4" s="1"/>
      <c r="OYA4" s="1"/>
      <c r="OYB4" s="1"/>
      <c r="OYC4" s="1"/>
      <c r="OYD4" s="1"/>
      <c r="OYE4" s="1"/>
      <c r="OYF4" s="1"/>
      <c r="OYG4" s="1"/>
      <c r="OYH4" s="1"/>
      <c r="OYI4" s="1"/>
      <c r="OYJ4" s="1"/>
      <c r="OYK4" s="1"/>
      <c r="OYL4" s="1"/>
      <c r="OYM4" s="1"/>
      <c r="OYN4" s="1"/>
      <c r="OYO4" s="1"/>
      <c r="OYP4" s="1"/>
      <c r="OYQ4" s="1"/>
      <c r="OYR4" s="1"/>
      <c r="OYS4" s="1"/>
      <c r="OYT4" s="1"/>
      <c r="OYU4" s="1"/>
      <c r="OYV4" s="1"/>
      <c r="OYW4" s="1"/>
      <c r="OYX4" s="1"/>
      <c r="OYY4" s="1"/>
      <c r="OYZ4" s="1"/>
      <c r="OZA4" s="1"/>
      <c r="OZB4" s="1"/>
      <c r="OZC4" s="1"/>
      <c r="OZD4" s="1"/>
      <c r="OZE4" s="1"/>
      <c r="OZF4" s="1"/>
      <c r="OZG4" s="1"/>
      <c r="OZH4" s="1"/>
      <c r="OZI4" s="1"/>
      <c r="OZJ4" s="1"/>
      <c r="OZK4" s="1"/>
      <c r="OZL4" s="1"/>
      <c r="OZM4" s="1"/>
      <c r="OZN4" s="1"/>
      <c r="OZO4" s="1"/>
      <c r="OZP4" s="1"/>
      <c r="OZQ4" s="1"/>
      <c r="OZR4" s="1"/>
      <c r="OZS4" s="1"/>
      <c r="OZT4" s="1"/>
      <c r="OZU4" s="1"/>
      <c r="OZV4" s="1"/>
      <c r="OZW4" s="1"/>
      <c r="OZX4" s="1"/>
      <c r="OZY4" s="1"/>
      <c r="OZZ4" s="1"/>
      <c r="PAA4" s="1"/>
      <c r="PAB4" s="1"/>
      <c r="PAC4" s="1"/>
      <c r="PAD4" s="1"/>
      <c r="PAE4" s="1"/>
      <c r="PAF4" s="1"/>
      <c r="PAG4" s="1"/>
      <c r="PAH4" s="1"/>
      <c r="PAI4" s="1"/>
      <c r="PAJ4" s="1"/>
      <c r="PAK4" s="1"/>
      <c r="PAL4" s="1"/>
      <c r="PAM4" s="1"/>
      <c r="PAN4" s="1"/>
      <c r="PAO4" s="1"/>
      <c r="PAP4" s="1"/>
      <c r="PAQ4" s="1"/>
      <c r="PAR4" s="1"/>
      <c r="PAS4" s="1"/>
      <c r="PAT4" s="1"/>
      <c r="PAU4" s="1"/>
      <c r="PAV4" s="1"/>
      <c r="PAW4" s="1"/>
      <c r="PAX4" s="1"/>
      <c r="PAY4" s="1"/>
      <c r="PAZ4" s="1"/>
      <c r="PBA4" s="1"/>
      <c r="PBB4" s="1"/>
      <c r="PBC4" s="1"/>
      <c r="PBD4" s="1"/>
      <c r="PBE4" s="1"/>
      <c r="PBF4" s="1"/>
      <c r="PBG4" s="1"/>
      <c r="PBH4" s="1"/>
      <c r="PBI4" s="1"/>
      <c r="PBJ4" s="1"/>
      <c r="PBK4" s="1"/>
      <c r="PBL4" s="1"/>
      <c r="PBM4" s="1"/>
      <c r="PBN4" s="1"/>
      <c r="PBO4" s="1"/>
      <c r="PBP4" s="1"/>
      <c r="PBQ4" s="1"/>
      <c r="PBR4" s="1"/>
      <c r="PBS4" s="1"/>
      <c r="PBT4" s="1"/>
      <c r="PBU4" s="1"/>
      <c r="PBV4" s="1"/>
      <c r="PBW4" s="1"/>
      <c r="PBX4" s="1"/>
      <c r="PBY4" s="1"/>
      <c r="PBZ4" s="1"/>
      <c r="PCA4" s="1"/>
      <c r="PCB4" s="1"/>
      <c r="PCC4" s="1"/>
      <c r="PCD4" s="1"/>
      <c r="PCE4" s="1"/>
      <c r="PCF4" s="1"/>
      <c r="PCG4" s="1"/>
      <c r="PCH4" s="1"/>
      <c r="PCI4" s="1"/>
      <c r="PCJ4" s="1"/>
      <c r="PCK4" s="1"/>
      <c r="PCL4" s="1"/>
      <c r="PCM4" s="1"/>
      <c r="PCN4" s="1"/>
      <c r="PCO4" s="1"/>
      <c r="PCP4" s="1"/>
      <c r="PCQ4" s="1"/>
      <c r="PCR4" s="1"/>
      <c r="PCS4" s="1"/>
      <c r="PCT4" s="1"/>
      <c r="PCU4" s="1"/>
      <c r="PCV4" s="1"/>
      <c r="PCW4" s="1"/>
      <c r="PCX4" s="1"/>
      <c r="PCY4" s="1"/>
      <c r="PCZ4" s="1"/>
      <c r="PDA4" s="1"/>
      <c r="PDB4" s="1"/>
      <c r="PDC4" s="1"/>
      <c r="PDD4" s="1"/>
      <c r="PDE4" s="1"/>
      <c r="PDF4" s="1"/>
      <c r="PDG4" s="1"/>
      <c r="PDH4" s="1"/>
      <c r="PDI4" s="1"/>
      <c r="PDJ4" s="1"/>
      <c r="PDK4" s="1"/>
      <c r="PDL4" s="1"/>
      <c r="PDM4" s="1"/>
      <c r="PDN4" s="1"/>
      <c r="PDO4" s="1"/>
      <c r="PDP4" s="1"/>
      <c r="PDQ4" s="1"/>
      <c r="PDR4" s="1"/>
      <c r="PDS4" s="1"/>
      <c r="PDT4" s="1"/>
      <c r="PDU4" s="1"/>
      <c r="PDV4" s="1"/>
      <c r="PDW4" s="1"/>
      <c r="PDX4" s="1"/>
      <c r="PDY4" s="1"/>
      <c r="PDZ4" s="1"/>
      <c r="PEA4" s="1"/>
      <c r="PEB4" s="1"/>
      <c r="PEC4" s="1"/>
      <c r="PED4" s="1"/>
      <c r="PEE4" s="1"/>
      <c r="PEF4" s="1"/>
      <c r="PEG4" s="1"/>
      <c r="PEH4" s="1"/>
      <c r="PEI4" s="1"/>
      <c r="PEJ4" s="1"/>
      <c r="PEK4" s="1"/>
      <c r="PEL4" s="1"/>
      <c r="PEM4" s="1"/>
      <c r="PEN4" s="1"/>
      <c r="PEO4" s="1"/>
      <c r="PEP4" s="1"/>
      <c r="PEQ4" s="1"/>
      <c r="PER4" s="1"/>
      <c r="PES4" s="1"/>
      <c r="PET4" s="1"/>
      <c r="PEU4" s="1"/>
      <c r="PEV4" s="1"/>
      <c r="PEW4" s="1"/>
      <c r="PEX4" s="1"/>
      <c r="PEY4" s="1"/>
      <c r="PEZ4" s="1"/>
      <c r="PFA4" s="1"/>
      <c r="PFB4" s="1"/>
      <c r="PFC4" s="1"/>
      <c r="PFD4" s="1"/>
      <c r="PFE4" s="1"/>
      <c r="PFF4" s="1"/>
      <c r="PFG4" s="1"/>
      <c r="PFH4" s="1"/>
      <c r="PFI4" s="1"/>
      <c r="PFJ4" s="1"/>
      <c r="PFK4" s="1"/>
      <c r="PFL4" s="1"/>
      <c r="PFM4" s="1"/>
      <c r="PFN4" s="1"/>
      <c r="PFO4" s="1"/>
      <c r="PFP4" s="1"/>
      <c r="PFQ4" s="1"/>
      <c r="PFR4" s="1"/>
      <c r="PFS4" s="1"/>
      <c r="PFT4" s="1"/>
      <c r="PFU4" s="1"/>
      <c r="PFV4" s="1"/>
      <c r="PFW4" s="1"/>
      <c r="PFX4" s="1"/>
      <c r="PFY4" s="1"/>
      <c r="PFZ4" s="1"/>
      <c r="PGA4" s="1"/>
      <c r="PGB4" s="1"/>
      <c r="PGC4" s="1"/>
      <c r="PGD4" s="1"/>
      <c r="PGE4" s="1"/>
      <c r="PGF4" s="1"/>
      <c r="PGG4" s="1"/>
      <c r="PGH4" s="1"/>
      <c r="PGI4" s="1"/>
      <c r="PGJ4" s="1"/>
      <c r="PGK4" s="1"/>
      <c r="PGL4" s="1"/>
      <c r="PGM4" s="1"/>
      <c r="PGN4" s="1"/>
      <c r="PGO4" s="1"/>
      <c r="PGP4" s="1"/>
      <c r="PGQ4" s="1"/>
      <c r="PGR4" s="1"/>
      <c r="PGS4" s="1"/>
      <c r="PGT4" s="1"/>
      <c r="PGU4" s="1"/>
      <c r="PGV4" s="1"/>
      <c r="PGW4" s="1"/>
      <c r="PGX4" s="1"/>
      <c r="PGY4" s="1"/>
      <c r="PGZ4" s="1"/>
      <c r="PHA4" s="1"/>
      <c r="PHB4" s="1"/>
      <c r="PHC4" s="1"/>
      <c r="PHD4" s="1"/>
      <c r="PHE4" s="1"/>
      <c r="PHF4" s="1"/>
      <c r="PHG4" s="1"/>
      <c r="PHH4" s="1"/>
      <c r="PHI4" s="1"/>
      <c r="PHJ4" s="1"/>
      <c r="PHK4" s="1"/>
      <c r="PHL4" s="1"/>
      <c r="PHM4" s="1"/>
      <c r="PHN4" s="1"/>
      <c r="PHO4" s="1"/>
      <c r="PHP4" s="1"/>
      <c r="PHQ4" s="1"/>
      <c r="PHR4" s="1"/>
      <c r="PHS4" s="1"/>
      <c r="PHT4" s="1"/>
      <c r="PHU4" s="1"/>
      <c r="PHV4" s="1"/>
      <c r="PHW4" s="1"/>
      <c r="PHX4" s="1"/>
      <c r="PHY4" s="1"/>
      <c r="PHZ4" s="1"/>
      <c r="PIA4" s="1"/>
      <c r="PIB4" s="1"/>
      <c r="PIC4" s="1"/>
      <c r="PID4" s="1"/>
      <c r="PIE4" s="1"/>
      <c r="PIF4" s="1"/>
      <c r="PIG4" s="1"/>
      <c r="PIH4" s="1"/>
      <c r="PII4" s="1"/>
      <c r="PIJ4" s="1"/>
      <c r="PIK4" s="1"/>
      <c r="PIL4" s="1"/>
      <c r="PIM4" s="1"/>
      <c r="PIN4" s="1"/>
      <c r="PIO4" s="1"/>
      <c r="PIP4" s="1"/>
      <c r="PIQ4" s="1"/>
      <c r="PIR4" s="1"/>
      <c r="PIS4" s="1"/>
      <c r="PIT4" s="1"/>
      <c r="PIU4" s="1"/>
      <c r="PIV4" s="1"/>
      <c r="PIW4" s="1"/>
      <c r="PIX4" s="1"/>
      <c r="PIY4" s="1"/>
      <c r="PIZ4" s="1"/>
      <c r="PJA4" s="1"/>
      <c r="PJB4" s="1"/>
      <c r="PJC4" s="1"/>
      <c r="PJD4" s="1"/>
      <c r="PJE4" s="1"/>
      <c r="PJF4" s="1"/>
      <c r="PJG4" s="1"/>
      <c r="PJH4" s="1"/>
      <c r="PJI4" s="1"/>
      <c r="PJJ4" s="1"/>
      <c r="PJK4" s="1"/>
      <c r="PJL4" s="1"/>
      <c r="PJM4" s="1"/>
      <c r="PJN4" s="1"/>
      <c r="PJO4" s="1"/>
      <c r="PJP4" s="1"/>
      <c r="PJQ4" s="1"/>
      <c r="PJR4" s="1"/>
      <c r="PJS4" s="1"/>
      <c r="PJT4" s="1"/>
      <c r="PJU4" s="1"/>
      <c r="PJV4" s="1"/>
      <c r="PJW4" s="1"/>
      <c r="PJX4" s="1"/>
      <c r="PJY4" s="1"/>
      <c r="PJZ4" s="1"/>
      <c r="PKA4" s="1"/>
      <c r="PKB4" s="1"/>
      <c r="PKC4" s="1"/>
      <c r="PKD4" s="1"/>
      <c r="PKE4" s="1"/>
      <c r="PKF4" s="1"/>
      <c r="PKG4" s="1"/>
      <c r="PKH4" s="1"/>
      <c r="PKI4" s="1"/>
      <c r="PKJ4" s="1"/>
      <c r="PKK4" s="1"/>
      <c r="PKL4" s="1"/>
      <c r="PKM4" s="1"/>
      <c r="PKN4" s="1"/>
      <c r="PKO4" s="1"/>
      <c r="PKP4" s="1"/>
      <c r="PKQ4" s="1"/>
      <c r="PKR4" s="1"/>
      <c r="PKS4" s="1"/>
      <c r="PKT4" s="1"/>
      <c r="PKU4" s="1"/>
      <c r="PKV4" s="1"/>
      <c r="PKW4" s="1"/>
      <c r="PKX4" s="1"/>
      <c r="PKY4" s="1"/>
      <c r="PKZ4" s="1"/>
      <c r="PLA4" s="1"/>
      <c r="PLB4" s="1"/>
      <c r="PLC4" s="1"/>
      <c r="PLD4" s="1"/>
      <c r="PLE4" s="1"/>
      <c r="PLF4" s="1"/>
      <c r="PLG4" s="1"/>
      <c r="PLH4" s="1"/>
      <c r="PLI4" s="1"/>
      <c r="PLJ4" s="1"/>
      <c r="PLK4" s="1"/>
      <c r="PLL4" s="1"/>
      <c r="PLM4" s="1"/>
      <c r="PLN4" s="1"/>
      <c r="PLO4" s="1"/>
      <c r="PLP4" s="1"/>
      <c r="PLQ4" s="1"/>
      <c r="PLR4" s="1"/>
      <c r="PLS4" s="1"/>
      <c r="PLT4" s="1"/>
      <c r="PLU4" s="1"/>
      <c r="PLV4" s="1"/>
      <c r="PLW4" s="1"/>
      <c r="PLX4" s="1"/>
      <c r="PLY4" s="1"/>
      <c r="PLZ4" s="1"/>
      <c r="PMA4" s="1"/>
      <c r="PMB4" s="1"/>
      <c r="PMC4" s="1"/>
      <c r="PMD4" s="1"/>
      <c r="PME4" s="1"/>
      <c r="PMF4" s="1"/>
      <c r="PMG4" s="1"/>
      <c r="PMH4" s="1"/>
      <c r="PMI4" s="1"/>
      <c r="PMJ4" s="1"/>
      <c r="PMK4" s="1"/>
      <c r="PML4" s="1"/>
      <c r="PMM4" s="1"/>
      <c r="PMN4" s="1"/>
      <c r="PMO4" s="1"/>
      <c r="PMP4" s="1"/>
      <c r="PMQ4" s="1"/>
      <c r="PMR4" s="1"/>
      <c r="PMS4" s="1"/>
      <c r="PMT4" s="1"/>
      <c r="PMU4" s="1"/>
      <c r="PMV4" s="1"/>
      <c r="PMW4" s="1"/>
      <c r="PMX4" s="1"/>
      <c r="PMY4" s="1"/>
      <c r="PMZ4" s="1"/>
      <c r="PNA4" s="1"/>
      <c r="PNB4" s="1"/>
      <c r="PNC4" s="1"/>
      <c r="PND4" s="1"/>
      <c r="PNE4" s="1"/>
      <c r="PNF4" s="1"/>
      <c r="PNG4" s="1"/>
      <c r="PNH4" s="1"/>
      <c r="PNI4" s="1"/>
      <c r="PNJ4" s="1"/>
      <c r="PNK4" s="1"/>
      <c r="PNL4" s="1"/>
      <c r="PNM4" s="1"/>
      <c r="PNN4" s="1"/>
      <c r="PNO4" s="1"/>
      <c r="PNP4" s="1"/>
      <c r="PNQ4" s="1"/>
      <c r="PNR4" s="1"/>
      <c r="PNS4" s="1"/>
      <c r="PNT4" s="1"/>
      <c r="PNU4" s="1"/>
      <c r="PNV4" s="1"/>
      <c r="PNW4" s="1"/>
      <c r="PNX4" s="1"/>
      <c r="PNY4" s="1"/>
      <c r="PNZ4" s="1"/>
      <c r="POA4" s="1"/>
      <c r="POB4" s="1"/>
      <c r="POC4" s="1"/>
      <c r="POD4" s="1"/>
      <c r="POE4" s="1"/>
      <c r="POF4" s="1"/>
      <c r="POG4" s="1"/>
      <c r="POH4" s="1"/>
      <c r="POI4" s="1"/>
      <c r="POJ4" s="1"/>
      <c r="POK4" s="1"/>
      <c r="POL4" s="1"/>
      <c r="POM4" s="1"/>
      <c r="PON4" s="1"/>
      <c r="POO4" s="1"/>
      <c r="POP4" s="1"/>
      <c r="POQ4" s="1"/>
      <c r="POR4" s="1"/>
      <c r="POS4" s="1"/>
      <c r="POT4" s="1"/>
      <c r="POU4" s="1"/>
      <c r="POV4" s="1"/>
      <c r="POW4" s="1"/>
      <c r="POX4" s="1"/>
      <c r="POY4" s="1"/>
      <c r="POZ4" s="1"/>
      <c r="PPA4" s="1"/>
      <c r="PPB4" s="1"/>
      <c r="PPC4" s="1"/>
      <c r="PPD4" s="1"/>
      <c r="PPE4" s="1"/>
      <c r="PPF4" s="1"/>
      <c r="PPG4" s="1"/>
      <c r="PPH4" s="1"/>
      <c r="PPI4" s="1"/>
      <c r="PPJ4" s="1"/>
      <c r="PPK4" s="1"/>
      <c r="PPL4" s="1"/>
      <c r="PPM4" s="1"/>
      <c r="PPN4" s="1"/>
      <c r="PPO4" s="1"/>
      <c r="PPP4" s="1"/>
      <c r="PPQ4" s="1"/>
      <c r="PPR4" s="1"/>
      <c r="PPS4" s="1"/>
      <c r="PPT4" s="1"/>
      <c r="PPU4" s="1"/>
      <c r="PPV4" s="1"/>
      <c r="PPW4" s="1"/>
      <c r="PPX4" s="1"/>
      <c r="PPY4" s="1"/>
      <c r="PPZ4" s="1"/>
      <c r="PQA4" s="1"/>
      <c r="PQB4" s="1"/>
      <c r="PQC4" s="1"/>
      <c r="PQD4" s="1"/>
      <c r="PQE4" s="1"/>
      <c r="PQF4" s="1"/>
      <c r="PQG4" s="1"/>
      <c r="PQH4" s="1"/>
      <c r="PQI4" s="1"/>
      <c r="PQJ4" s="1"/>
      <c r="PQK4" s="1"/>
      <c r="PQL4" s="1"/>
      <c r="PQM4" s="1"/>
      <c r="PQN4" s="1"/>
      <c r="PQO4" s="1"/>
      <c r="PQP4" s="1"/>
      <c r="PQQ4" s="1"/>
      <c r="PQR4" s="1"/>
      <c r="PQS4" s="1"/>
      <c r="PQT4" s="1"/>
      <c r="PQU4" s="1"/>
      <c r="PQV4" s="1"/>
      <c r="PQW4" s="1"/>
      <c r="PQX4" s="1"/>
      <c r="PQY4" s="1"/>
      <c r="PQZ4" s="1"/>
      <c r="PRA4" s="1"/>
      <c r="PRB4" s="1"/>
      <c r="PRC4" s="1"/>
      <c r="PRD4" s="1"/>
      <c r="PRE4" s="1"/>
      <c r="PRF4" s="1"/>
      <c r="PRG4" s="1"/>
      <c r="PRH4" s="1"/>
      <c r="PRI4" s="1"/>
      <c r="PRJ4" s="1"/>
      <c r="PRK4" s="1"/>
      <c r="PRL4" s="1"/>
      <c r="PRM4" s="1"/>
      <c r="PRN4" s="1"/>
      <c r="PRO4" s="1"/>
      <c r="PRP4" s="1"/>
      <c r="PRQ4" s="1"/>
      <c r="PRR4" s="1"/>
      <c r="PRS4" s="1"/>
      <c r="PRT4" s="1"/>
      <c r="PRU4" s="1"/>
      <c r="PRV4" s="1"/>
      <c r="PRW4" s="1"/>
      <c r="PRX4" s="1"/>
      <c r="PRY4" s="1"/>
      <c r="PRZ4" s="1"/>
      <c r="PSA4" s="1"/>
      <c r="PSB4" s="1"/>
      <c r="PSC4" s="1"/>
      <c r="PSD4" s="1"/>
      <c r="PSE4" s="1"/>
      <c r="PSF4" s="1"/>
      <c r="PSG4" s="1"/>
      <c r="PSH4" s="1"/>
      <c r="PSI4" s="1"/>
      <c r="PSJ4" s="1"/>
      <c r="PSK4" s="1"/>
      <c r="PSL4" s="1"/>
      <c r="PSM4" s="1"/>
      <c r="PSN4" s="1"/>
      <c r="PSO4" s="1"/>
      <c r="PSP4" s="1"/>
      <c r="PSQ4" s="1"/>
      <c r="PSR4" s="1"/>
      <c r="PSS4" s="1"/>
      <c r="PST4" s="1"/>
      <c r="PSU4" s="1"/>
      <c r="PSV4" s="1"/>
      <c r="PSW4" s="1"/>
      <c r="PSX4" s="1"/>
      <c r="PSY4" s="1"/>
      <c r="PSZ4" s="1"/>
      <c r="PTA4" s="1"/>
      <c r="PTB4" s="1"/>
      <c r="PTC4" s="1"/>
      <c r="PTD4" s="1"/>
      <c r="PTE4" s="1"/>
      <c r="PTF4" s="1"/>
      <c r="PTG4" s="1"/>
      <c r="PTH4" s="1"/>
      <c r="PTI4" s="1"/>
      <c r="PTJ4" s="1"/>
      <c r="PTK4" s="1"/>
      <c r="PTL4" s="1"/>
      <c r="PTM4" s="1"/>
      <c r="PTN4" s="1"/>
      <c r="PTO4" s="1"/>
      <c r="PTP4" s="1"/>
      <c r="PTQ4" s="1"/>
      <c r="PTR4" s="1"/>
      <c r="PTS4" s="1"/>
      <c r="PTT4" s="1"/>
      <c r="PTU4" s="1"/>
      <c r="PTV4" s="1"/>
      <c r="PTW4" s="1"/>
      <c r="PTX4" s="1"/>
      <c r="PTY4" s="1"/>
      <c r="PTZ4" s="1"/>
      <c r="PUA4" s="1"/>
      <c r="PUB4" s="1"/>
      <c r="PUC4" s="1"/>
      <c r="PUD4" s="1"/>
      <c r="PUE4" s="1"/>
      <c r="PUF4" s="1"/>
      <c r="PUG4" s="1"/>
      <c r="PUH4" s="1"/>
      <c r="PUI4" s="1"/>
      <c r="PUJ4" s="1"/>
      <c r="PUK4" s="1"/>
      <c r="PUL4" s="1"/>
      <c r="PUM4" s="1"/>
      <c r="PUN4" s="1"/>
      <c r="PUO4" s="1"/>
      <c r="PUP4" s="1"/>
      <c r="PUQ4" s="1"/>
      <c r="PUR4" s="1"/>
      <c r="PUS4" s="1"/>
      <c r="PUT4" s="1"/>
      <c r="PUU4" s="1"/>
      <c r="PUV4" s="1"/>
      <c r="PUW4" s="1"/>
      <c r="PUX4" s="1"/>
      <c r="PUY4" s="1"/>
      <c r="PUZ4" s="1"/>
      <c r="PVA4" s="1"/>
      <c r="PVB4" s="1"/>
      <c r="PVC4" s="1"/>
      <c r="PVD4" s="1"/>
      <c r="PVE4" s="1"/>
      <c r="PVF4" s="1"/>
      <c r="PVG4" s="1"/>
      <c r="PVH4" s="1"/>
      <c r="PVI4" s="1"/>
      <c r="PVJ4" s="1"/>
      <c r="PVK4" s="1"/>
      <c r="PVL4" s="1"/>
      <c r="PVM4" s="1"/>
      <c r="PVN4" s="1"/>
      <c r="PVO4" s="1"/>
      <c r="PVP4" s="1"/>
      <c r="PVQ4" s="1"/>
      <c r="PVR4" s="1"/>
      <c r="PVS4" s="1"/>
      <c r="PVT4" s="1"/>
      <c r="PVU4" s="1"/>
      <c r="PVV4" s="1"/>
      <c r="PVW4" s="1"/>
      <c r="PVX4" s="1"/>
      <c r="PVY4" s="1"/>
      <c r="PVZ4" s="1"/>
      <c r="PWA4" s="1"/>
      <c r="PWB4" s="1"/>
      <c r="PWC4" s="1"/>
      <c r="PWD4" s="1"/>
      <c r="PWE4" s="1"/>
      <c r="PWF4" s="1"/>
      <c r="PWG4" s="1"/>
      <c r="PWH4" s="1"/>
      <c r="PWI4" s="1"/>
      <c r="PWJ4" s="1"/>
      <c r="PWK4" s="1"/>
      <c r="PWL4" s="1"/>
      <c r="PWM4" s="1"/>
      <c r="PWN4" s="1"/>
      <c r="PWO4" s="1"/>
      <c r="PWP4" s="1"/>
      <c r="PWQ4" s="1"/>
      <c r="PWR4" s="1"/>
      <c r="PWS4" s="1"/>
      <c r="PWT4" s="1"/>
      <c r="PWU4" s="1"/>
      <c r="PWV4" s="1"/>
      <c r="PWW4" s="1"/>
      <c r="PWX4" s="1"/>
      <c r="PWY4" s="1"/>
      <c r="PWZ4" s="1"/>
      <c r="PXA4" s="1"/>
      <c r="PXB4" s="1"/>
      <c r="PXC4" s="1"/>
      <c r="PXD4" s="1"/>
      <c r="PXE4" s="1"/>
      <c r="PXF4" s="1"/>
      <c r="PXG4" s="1"/>
      <c r="PXH4" s="1"/>
      <c r="PXI4" s="1"/>
      <c r="PXJ4" s="1"/>
      <c r="PXK4" s="1"/>
      <c r="PXL4" s="1"/>
      <c r="PXM4" s="1"/>
      <c r="PXN4" s="1"/>
      <c r="PXO4" s="1"/>
      <c r="PXP4" s="1"/>
      <c r="PXQ4" s="1"/>
      <c r="PXR4" s="1"/>
      <c r="PXS4" s="1"/>
      <c r="PXT4" s="1"/>
      <c r="PXU4" s="1"/>
      <c r="PXV4" s="1"/>
      <c r="PXW4" s="1"/>
      <c r="PXX4" s="1"/>
      <c r="PXY4" s="1"/>
      <c r="PXZ4" s="1"/>
      <c r="PYA4" s="1"/>
      <c r="PYB4" s="1"/>
      <c r="PYC4" s="1"/>
      <c r="PYD4" s="1"/>
      <c r="PYE4" s="1"/>
      <c r="PYF4" s="1"/>
      <c r="PYG4" s="1"/>
      <c r="PYH4" s="1"/>
      <c r="PYI4" s="1"/>
      <c r="PYJ4" s="1"/>
      <c r="PYK4" s="1"/>
      <c r="PYL4" s="1"/>
      <c r="PYM4" s="1"/>
      <c r="PYN4" s="1"/>
      <c r="PYO4" s="1"/>
      <c r="PYP4" s="1"/>
      <c r="PYQ4" s="1"/>
      <c r="PYR4" s="1"/>
      <c r="PYS4" s="1"/>
      <c r="PYT4" s="1"/>
      <c r="PYU4" s="1"/>
      <c r="PYV4" s="1"/>
      <c r="PYW4" s="1"/>
      <c r="PYX4" s="1"/>
      <c r="PYY4" s="1"/>
      <c r="PYZ4" s="1"/>
      <c r="PZA4" s="1"/>
      <c r="PZB4" s="1"/>
      <c r="PZC4" s="1"/>
      <c r="PZD4" s="1"/>
      <c r="PZE4" s="1"/>
      <c r="PZF4" s="1"/>
      <c r="PZG4" s="1"/>
      <c r="PZH4" s="1"/>
      <c r="PZI4" s="1"/>
      <c r="PZJ4" s="1"/>
      <c r="PZK4" s="1"/>
      <c r="PZL4" s="1"/>
      <c r="PZM4" s="1"/>
      <c r="PZN4" s="1"/>
      <c r="PZO4" s="1"/>
      <c r="PZP4" s="1"/>
      <c r="PZQ4" s="1"/>
      <c r="PZR4" s="1"/>
      <c r="PZS4" s="1"/>
      <c r="PZT4" s="1"/>
      <c r="PZU4" s="1"/>
      <c r="PZV4" s="1"/>
      <c r="PZW4" s="1"/>
      <c r="PZX4" s="1"/>
      <c r="PZY4" s="1"/>
      <c r="PZZ4" s="1"/>
      <c r="QAA4" s="1"/>
      <c r="QAB4" s="1"/>
      <c r="QAC4" s="1"/>
      <c r="QAD4" s="1"/>
      <c r="QAE4" s="1"/>
      <c r="QAF4" s="1"/>
      <c r="QAG4" s="1"/>
      <c r="QAH4" s="1"/>
      <c r="QAI4" s="1"/>
      <c r="QAJ4" s="1"/>
      <c r="QAK4" s="1"/>
      <c r="QAL4" s="1"/>
      <c r="QAM4" s="1"/>
      <c r="QAN4" s="1"/>
      <c r="QAO4" s="1"/>
      <c r="QAP4" s="1"/>
      <c r="QAQ4" s="1"/>
      <c r="QAR4" s="1"/>
      <c r="QAS4" s="1"/>
      <c r="QAT4" s="1"/>
      <c r="QAU4" s="1"/>
      <c r="QAV4" s="1"/>
      <c r="QAW4" s="1"/>
      <c r="QAX4" s="1"/>
      <c r="QAY4" s="1"/>
      <c r="QAZ4" s="1"/>
      <c r="QBA4" s="1"/>
      <c r="QBB4" s="1"/>
      <c r="QBC4" s="1"/>
      <c r="QBD4" s="1"/>
      <c r="QBE4" s="1"/>
      <c r="QBF4" s="1"/>
      <c r="QBG4" s="1"/>
      <c r="QBH4" s="1"/>
      <c r="QBI4" s="1"/>
      <c r="QBJ4" s="1"/>
      <c r="QBK4" s="1"/>
      <c r="QBL4" s="1"/>
      <c r="QBM4" s="1"/>
      <c r="QBN4" s="1"/>
      <c r="QBO4" s="1"/>
      <c r="QBP4" s="1"/>
      <c r="QBQ4" s="1"/>
      <c r="QBR4" s="1"/>
      <c r="QBS4" s="1"/>
      <c r="QBT4" s="1"/>
      <c r="QBU4" s="1"/>
      <c r="QBV4" s="1"/>
      <c r="QBW4" s="1"/>
      <c r="QBX4" s="1"/>
      <c r="QBY4" s="1"/>
      <c r="QBZ4" s="1"/>
      <c r="QCA4" s="1"/>
      <c r="QCB4" s="1"/>
      <c r="QCC4" s="1"/>
      <c r="QCD4" s="1"/>
      <c r="QCE4" s="1"/>
      <c r="QCF4" s="1"/>
      <c r="QCG4" s="1"/>
      <c r="QCH4" s="1"/>
      <c r="QCI4" s="1"/>
      <c r="QCJ4" s="1"/>
      <c r="QCK4" s="1"/>
      <c r="QCL4" s="1"/>
      <c r="QCM4" s="1"/>
      <c r="QCN4" s="1"/>
      <c r="QCO4" s="1"/>
      <c r="QCP4" s="1"/>
      <c r="QCQ4" s="1"/>
      <c r="QCR4" s="1"/>
      <c r="QCS4" s="1"/>
      <c r="QCT4" s="1"/>
      <c r="QCU4" s="1"/>
      <c r="QCV4" s="1"/>
      <c r="QCW4" s="1"/>
      <c r="QCX4" s="1"/>
      <c r="QCY4" s="1"/>
      <c r="QCZ4" s="1"/>
      <c r="QDA4" s="1"/>
      <c r="QDB4" s="1"/>
      <c r="QDC4" s="1"/>
      <c r="QDD4" s="1"/>
      <c r="QDE4" s="1"/>
      <c r="QDF4" s="1"/>
      <c r="QDG4" s="1"/>
      <c r="QDH4" s="1"/>
      <c r="QDI4" s="1"/>
      <c r="QDJ4" s="1"/>
      <c r="QDK4" s="1"/>
      <c r="QDL4" s="1"/>
      <c r="QDM4" s="1"/>
      <c r="QDN4" s="1"/>
      <c r="QDO4" s="1"/>
      <c r="QDP4" s="1"/>
      <c r="QDQ4" s="1"/>
      <c r="QDR4" s="1"/>
      <c r="QDS4" s="1"/>
      <c r="QDT4" s="1"/>
      <c r="QDU4" s="1"/>
      <c r="QDV4" s="1"/>
      <c r="QDW4" s="1"/>
      <c r="QDX4" s="1"/>
      <c r="QDY4" s="1"/>
      <c r="QDZ4" s="1"/>
      <c r="QEA4" s="1"/>
      <c r="QEB4" s="1"/>
      <c r="QEC4" s="1"/>
      <c r="QED4" s="1"/>
      <c r="QEE4" s="1"/>
      <c r="QEF4" s="1"/>
      <c r="QEG4" s="1"/>
      <c r="QEH4" s="1"/>
      <c r="QEI4" s="1"/>
      <c r="QEJ4" s="1"/>
      <c r="QEK4" s="1"/>
      <c r="QEL4" s="1"/>
      <c r="QEM4" s="1"/>
      <c r="QEN4" s="1"/>
      <c r="QEO4" s="1"/>
      <c r="QEP4" s="1"/>
      <c r="QEQ4" s="1"/>
      <c r="QER4" s="1"/>
      <c r="QES4" s="1"/>
      <c r="QET4" s="1"/>
      <c r="QEU4" s="1"/>
      <c r="QEV4" s="1"/>
      <c r="QEW4" s="1"/>
      <c r="QEX4" s="1"/>
      <c r="QEY4" s="1"/>
      <c r="QEZ4" s="1"/>
      <c r="QFA4" s="1"/>
      <c r="QFB4" s="1"/>
      <c r="QFC4" s="1"/>
      <c r="QFD4" s="1"/>
      <c r="QFE4" s="1"/>
      <c r="QFF4" s="1"/>
      <c r="QFG4" s="1"/>
      <c r="QFH4" s="1"/>
      <c r="QFI4" s="1"/>
      <c r="QFJ4" s="1"/>
      <c r="QFK4" s="1"/>
      <c r="QFL4" s="1"/>
      <c r="QFM4" s="1"/>
      <c r="QFN4" s="1"/>
      <c r="QFO4" s="1"/>
      <c r="QFP4" s="1"/>
      <c r="QFQ4" s="1"/>
      <c r="QFR4" s="1"/>
      <c r="QFS4" s="1"/>
      <c r="QFT4" s="1"/>
      <c r="QFU4" s="1"/>
      <c r="QFV4" s="1"/>
      <c r="QFW4" s="1"/>
      <c r="QFX4" s="1"/>
      <c r="QFY4" s="1"/>
      <c r="QFZ4" s="1"/>
      <c r="QGA4" s="1"/>
      <c r="QGB4" s="1"/>
      <c r="QGC4" s="1"/>
      <c r="QGD4" s="1"/>
      <c r="QGE4" s="1"/>
      <c r="QGF4" s="1"/>
      <c r="QGG4" s="1"/>
      <c r="QGH4" s="1"/>
      <c r="QGI4" s="1"/>
      <c r="QGJ4" s="1"/>
      <c r="QGK4" s="1"/>
      <c r="QGL4" s="1"/>
      <c r="QGM4" s="1"/>
      <c r="QGN4" s="1"/>
      <c r="QGO4" s="1"/>
      <c r="QGP4" s="1"/>
      <c r="QGQ4" s="1"/>
      <c r="QGR4" s="1"/>
      <c r="QGS4" s="1"/>
      <c r="QGT4" s="1"/>
      <c r="QGU4" s="1"/>
      <c r="QGV4" s="1"/>
      <c r="QGW4" s="1"/>
      <c r="QGX4" s="1"/>
      <c r="QGY4" s="1"/>
      <c r="QGZ4" s="1"/>
      <c r="QHA4" s="1"/>
      <c r="QHB4" s="1"/>
      <c r="QHC4" s="1"/>
      <c r="QHD4" s="1"/>
      <c r="QHE4" s="1"/>
      <c r="QHF4" s="1"/>
      <c r="QHG4" s="1"/>
      <c r="QHH4" s="1"/>
      <c r="QHI4" s="1"/>
      <c r="QHJ4" s="1"/>
      <c r="QHK4" s="1"/>
      <c r="QHL4" s="1"/>
      <c r="QHM4" s="1"/>
      <c r="QHN4" s="1"/>
      <c r="QHO4" s="1"/>
      <c r="QHP4" s="1"/>
      <c r="QHQ4" s="1"/>
      <c r="QHR4" s="1"/>
      <c r="QHS4" s="1"/>
      <c r="QHT4" s="1"/>
      <c r="QHU4" s="1"/>
      <c r="QHV4" s="1"/>
      <c r="QHW4" s="1"/>
      <c r="QHX4" s="1"/>
      <c r="QHY4" s="1"/>
      <c r="QHZ4" s="1"/>
      <c r="QIA4" s="1"/>
      <c r="QIB4" s="1"/>
      <c r="QIC4" s="1"/>
      <c r="QID4" s="1"/>
      <c r="QIE4" s="1"/>
      <c r="QIF4" s="1"/>
      <c r="QIG4" s="1"/>
      <c r="QIH4" s="1"/>
      <c r="QII4" s="1"/>
      <c r="QIJ4" s="1"/>
      <c r="QIK4" s="1"/>
      <c r="QIL4" s="1"/>
      <c r="QIM4" s="1"/>
      <c r="QIN4" s="1"/>
      <c r="QIO4" s="1"/>
      <c r="QIP4" s="1"/>
      <c r="QIQ4" s="1"/>
      <c r="QIR4" s="1"/>
      <c r="QIS4" s="1"/>
      <c r="QIT4" s="1"/>
      <c r="QIU4" s="1"/>
      <c r="QIV4" s="1"/>
      <c r="QIW4" s="1"/>
      <c r="QIX4" s="1"/>
      <c r="QIY4" s="1"/>
      <c r="QIZ4" s="1"/>
      <c r="QJA4" s="1"/>
      <c r="QJB4" s="1"/>
      <c r="QJC4" s="1"/>
      <c r="QJD4" s="1"/>
      <c r="QJE4" s="1"/>
      <c r="QJF4" s="1"/>
      <c r="QJG4" s="1"/>
      <c r="QJH4" s="1"/>
      <c r="QJI4" s="1"/>
      <c r="QJJ4" s="1"/>
      <c r="QJK4" s="1"/>
      <c r="QJL4" s="1"/>
      <c r="QJM4" s="1"/>
      <c r="QJN4" s="1"/>
      <c r="QJO4" s="1"/>
      <c r="QJP4" s="1"/>
      <c r="QJQ4" s="1"/>
      <c r="QJR4" s="1"/>
      <c r="QJS4" s="1"/>
      <c r="QJT4" s="1"/>
      <c r="QJU4" s="1"/>
      <c r="QJV4" s="1"/>
      <c r="QJW4" s="1"/>
      <c r="QJX4" s="1"/>
      <c r="QJY4" s="1"/>
      <c r="QJZ4" s="1"/>
      <c r="QKA4" s="1"/>
      <c r="QKB4" s="1"/>
      <c r="QKC4" s="1"/>
      <c r="QKD4" s="1"/>
      <c r="QKE4" s="1"/>
      <c r="QKF4" s="1"/>
      <c r="QKG4" s="1"/>
      <c r="QKH4" s="1"/>
      <c r="QKI4" s="1"/>
      <c r="QKJ4" s="1"/>
      <c r="QKK4" s="1"/>
      <c r="QKL4" s="1"/>
      <c r="QKM4" s="1"/>
      <c r="QKN4" s="1"/>
      <c r="QKO4" s="1"/>
      <c r="QKP4" s="1"/>
      <c r="QKQ4" s="1"/>
      <c r="QKR4" s="1"/>
      <c r="QKS4" s="1"/>
      <c r="QKT4" s="1"/>
      <c r="QKU4" s="1"/>
      <c r="QKV4" s="1"/>
      <c r="QKW4" s="1"/>
      <c r="QKX4" s="1"/>
      <c r="QKY4" s="1"/>
      <c r="QKZ4" s="1"/>
      <c r="QLA4" s="1"/>
      <c r="QLB4" s="1"/>
      <c r="QLC4" s="1"/>
      <c r="QLD4" s="1"/>
      <c r="QLE4" s="1"/>
      <c r="QLF4" s="1"/>
      <c r="QLG4" s="1"/>
      <c r="QLH4" s="1"/>
      <c r="QLI4" s="1"/>
      <c r="QLJ4" s="1"/>
      <c r="QLK4" s="1"/>
      <c r="QLL4" s="1"/>
      <c r="QLM4" s="1"/>
      <c r="QLN4" s="1"/>
      <c r="QLO4" s="1"/>
      <c r="QLP4" s="1"/>
      <c r="QLQ4" s="1"/>
      <c r="QLR4" s="1"/>
      <c r="QLS4" s="1"/>
      <c r="QLT4" s="1"/>
      <c r="QLU4" s="1"/>
      <c r="QLV4" s="1"/>
      <c r="QLW4" s="1"/>
      <c r="QLX4" s="1"/>
      <c r="QLY4" s="1"/>
      <c r="QLZ4" s="1"/>
      <c r="QMA4" s="1"/>
      <c r="QMB4" s="1"/>
      <c r="QMC4" s="1"/>
      <c r="QMD4" s="1"/>
      <c r="QME4" s="1"/>
      <c r="QMF4" s="1"/>
      <c r="QMG4" s="1"/>
      <c r="QMH4" s="1"/>
      <c r="QMI4" s="1"/>
      <c r="QMJ4" s="1"/>
      <c r="QMK4" s="1"/>
      <c r="QML4" s="1"/>
      <c r="QMM4" s="1"/>
      <c r="QMN4" s="1"/>
      <c r="QMO4" s="1"/>
      <c r="QMP4" s="1"/>
      <c r="QMQ4" s="1"/>
      <c r="QMR4" s="1"/>
      <c r="QMS4" s="1"/>
      <c r="QMT4" s="1"/>
      <c r="QMU4" s="1"/>
      <c r="QMV4" s="1"/>
      <c r="QMW4" s="1"/>
      <c r="QMX4" s="1"/>
      <c r="QMY4" s="1"/>
      <c r="QMZ4" s="1"/>
      <c r="QNA4" s="1"/>
      <c r="QNB4" s="1"/>
      <c r="QNC4" s="1"/>
      <c r="QND4" s="1"/>
      <c r="QNE4" s="1"/>
      <c r="QNF4" s="1"/>
      <c r="QNG4" s="1"/>
      <c r="QNH4" s="1"/>
      <c r="QNI4" s="1"/>
      <c r="QNJ4" s="1"/>
      <c r="QNK4" s="1"/>
      <c r="QNL4" s="1"/>
      <c r="QNM4" s="1"/>
      <c r="QNN4" s="1"/>
      <c r="QNO4" s="1"/>
      <c r="QNP4" s="1"/>
      <c r="QNQ4" s="1"/>
      <c r="QNR4" s="1"/>
      <c r="QNS4" s="1"/>
      <c r="QNT4" s="1"/>
      <c r="QNU4" s="1"/>
      <c r="QNV4" s="1"/>
      <c r="QNW4" s="1"/>
      <c r="QNX4" s="1"/>
      <c r="QNY4" s="1"/>
      <c r="QNZ4" s="1"/>
      <c r="QOA4" s="1"/>
      <c r="QOB4" s="1"/>
      <c r="QOC4" s="1"/>
      <c r="QOD4" s="1"/>
      <c r="QOE4" s="1"/>
      <c r="QOF4" s="1"/>
      <c r="QOG4" s="1"/>
      <c r="QOH4" s="1"/>
      <c r="QOI4" s="1"/>
      <c r="QOJ4" s="1"/>
      <c r="QOK4" s="1"/>
      <c r="QOL4" s="1"/>
      <c r="QOM4" s="1"/>
      <c r="QON4" s="1"/>
      <c r="QOO4" s="1"/>
      <c r="QOP4" s="1"/>
      <c r="QOQ4" s="1"/>
      <c r="QOR4" s="1"/>
      <c r="QOS4" s="1"/>
      <c r="QOT4" s="1"/>
      <c r="QOU4" s="1"/>
      <c r="QOV4" s="1"/>
      <c r="QOW4" s="1"/>
      <c r="QOX4" s="1"/>
      <c r="QOY4" s="1"/>
      <c r="QOZ4" s="1"/>
      <c r="QPA4" s="1"/>
      <c r="QPB4" s="1"/>
      <c r="QPC4" s="1"/>
      <c r="QPD4" s="1"/>
      <c r="QPE4" s="1"/>
      <c r="QPF4" s="1"/>
      <c r="QPG4" s="1"/>
      <c r="QPH4" s="1"/>
      <c r="QPI4" s="1"/>
      <c r="QPJ4" s="1"/>
      <c r="QPK4" s="1"/>
      <c r="QPL4" s="1"/>
      <c r="QPM4" s="1"/>
      <c r="QPN4" s="1"/>
      <c r="QPO4" s="1"/>
      <c r="QPP4" s="1"/>
      <c r="QPQ4" s="1"/>
      <c r="QPR4" s="1"/>
      <c r="QPS4" s="1"/>
      <c r="QPT4" s="1"/>
      <c r="QPU4" s="1"/>
      <c r="QPV4" s="1"/>
      <c r="QPW4" s="1"/>
      <c r="QPX4" s="1"/>
      <c r="QPY4" s="1"/>
      <c r="QPZ4" s="1"/>
      <c r="QQA4" s="1"/>
      <c r="QQB4" s="1"/>
      <c r="QQC4" s="1"/>
      <c r="QQD4" s="1"/>
      <c r="QQE4" s="1"/>
      <c r="QQF4" s="1"/>
      <c r="QQG4" s="1"/>
      <c r="QQH4" s="1"/>
      <c r="QQI4" s="1"/>
      <c r="QQJ4" s="1"/>
      <c r="QQK4" s="1"/>
      <c r="QQL4" s="1"/>
      <c r="QQM4" s="1"/>
      <c r="QQN4" s="1"/>
      <c r="QQO4" s="1"/>
      <c r="QQP4" s="1"/>
      <c r="QQQ4" s="1"/>
      <c r="QQR4" s="1"/>
      <c r="QQS4" s="1"/>
      <c r="QQT4" s="1"/>
      <c r="QQU4" s="1"/>
      <c r="QQV4" s="1"/>
      <c r="QQW4" s="1"/>
      <c r="QQX4" s="1"/>
      <c r="QQY4" s="1"/>
      <c r="QQZ4" s="1"/>
      <c r="QRA4" s="1"/>
      <c r="QRB4" s="1"/>
      <c r="QRC4" s="1"/>
      <c r="QRD4" s="1"/>
      <c r="QRE4" s="1"/>
      <c r="QRF4" s="1"/>
      <c r="QRG4" s="1"/>
      <c r="QRH4" s="1"/>
      <c r="QRI4" s="1"/>
      <c r="QRJ4" s="1"/>
      <c r="QRK4" s="1"/>
      <c r="QRL4" s="1"/>
      <c r="QRM4" s="1"/>
      <c r="QRN4" s="1"/>
      <c r="QRO4" s="1"/>
      <c r="QRP4" s="1"/>
      <c r="QRQ4" s="1"/>
      <c r="QRR4" s="1"/>
      <c r="QRS4" s="1"/>
      <c r="QRT4" s="1"/>
      <c r="QRU4" s="1"/>
      <c r="QRV4" s="1"/>
      <c r="QRW4" s="1"/>
      <c r="QRX4" s="1"/>
      <c r="QRY4" s="1"/>
      <c r="QRZ4" s="1"/>
      <c r="QSA4" s="1"/>
      <c r="QSB4" s="1"/>
      <c r="QSC4" s="1"/>
      <c r="QSD4" s="1"/>
      <c r="QSE4" s="1"/>
      <c r="QSF4" s="1"/>
      <c r="QSG4" s="1"/>
      <c r="QSH4" s="1"/>
      <c r="QSI4" s="1"/>
      <c r="QSJ4" s="1"/>
      <c r="QSK4" s="1"/>
      <c r="QSL4" s="1"/>
      <c r="QSM4" s="1"/>
      <c r="QSN4" s="1"/>
      <c r="QSO4" s="1"/>
      <c r="QSP4" s="1"/>
      <c r="QSQ4" s="1"/>
      <c r="QSR4" s="1"/>
      <c r="QSS4" s="1"/>
      <c r="QST4" s="1"/>
      <c r="QSU4" s="1"/>
      <c r="QSV4" s="1"/>
      <c r="QSW4" s="1"/>
      <c r="QSX4" s="1"/>
      <c r="QSY4" s="1"/>
      <c r="QSZ4" s="1"/>
      <c r="QTA4" s="1"/>
      <c r="QTB4" s="1"/>
      <c r="QTC4" s="1"/>
      <c r="QTD4" s="1"/>
      <c r="QTE4" s="1"/>
      <c r="QTF4" s="1"/>
      <c r="QTG4" s="1"/>
      <c r="QTH4" s="1"/>
      <c r="QTI4" s="1"/>
      <c r="QTJ4" s="1"/>
      <c r="QTK4" s="1"/>
      <c r="QTL4" s="1"/>
      <c r="QTM4" s="1"/>
      <c r="QTN4" s="1"/>
      <c r="QTO4" s="1"/>
      <c r="QTP4" s="1"/>
      <c r="QTQ4" s="1"/>
      <c r="QTR4" s="1"/>
      <c r="QTS4" s="1"/>
      <c r="QTT4" s="1"/>
      <c r="QTU4" s="1"/>
      <c r="QTV4" s="1"/>
      <c r="QTW4" s="1"/>
      <c r="QTX4" s="1"/>
      <c r="QTY4" s="1"/>
      <c r="QTZ4" s="1"/>
      <c r="QUA4" s="1"/>
      <c r="QUB4" s="1"/>
      <c r="QUC4" s="1"/>
      <c r="QUD4" s="1"/>
      <c r="QUE4" s="1"/>
      <c r="QUF4" s="1"/>
      <c r="QUG4" s="1"/>
      <c r="QUH4" s="1"/>
      <c r="QUI4" s="1"/>
      <c r="QUJ4" s="1"/>
      <c r="QUK4" s="1"/>
      <c r="QUL4" s="1"/>
      <c r="QUM4" s="1"/>
      <c r="QUN4" s="1"/>
      <c r="QUO4" s="1"/>
      <c r="QUP4" s="1"/>
      <c r="QUQ4" s="1"/>
      <c r="QUR4" s="1"/>
      <c r="QUS4" s="1"/>
      <c r="QUT4" s="1"/>
      <c r="QUU4" s="1"/>
      <c r="QUV4" s="1"/>
      <c r="QUW4" s="1"/>
      <c r="QUX4" s="1"/>
      <c r="QUY4" s="1"/>
      <c r="QUZ4" s="1"/>
      <c r="QVA4" s="1"/>
      <c r="QVB4" s="1"/>
      <c r="QVC4" s="1"/>
      <c r="QVD4" s="1"/>
      <c r="QVE4" s="1"/>
      <c r="QVF4" s="1"/>
      <c r="QVG4" s="1"/>
      <c r="QVH4" s="1"/>
      <c r="QVI4" s="1"/>
      <c r="QVJ4" s="1"/>
      <c r="QVK4" s="1"/>
      <c r="QVL4" s="1"/>
      <c r="QVM4" s="1"/>
      <c r="QVN4" s="1"/>
      <c r="QVO4" s="1"/>
      <c r="QVP4" s="1"/>
      <c r="QVQ4" s="1"/>
      <c r="QVR4" s="1"/>
      <c r="QVS4" s="1"/>
      <c r="QVT4" s="1"/>
      <c r="QVU4" s="1"/>
      <c r="QVV4" s="1"/>
      <c r="QVW4" s="1"/>
      <c r="QVX4" s="1"/>
      <c r="QVY4" s="1"/>
      <c r="QVZ4" s="1"/>
      <c r="QWA4" s="1"/>
      <c r="QWB4" s="1"/>
      <c r="QWC4" s="1"/>
      <c r="QWD4" s="1"/>
      <c r="QWE4" s="1"/>
      <c r="QWF4" s="1"/>
      <c r="QWG4" s="1"/>
      <c r="QWH4" s="1"/>
      <c r="QWI4" s="1"/>
      <c r="QWJ4" s="1"/>
      <c r="QWK4" s="1"/>
      <c r="QWL4" s="1"/>
      <c r="QWM4" s="1"/>
      <c r="QWN4" s="1"/>
      <c r="QWO4" s="1"/>
      <c r="QWP4" s="1"/>
      <c r="QWQ4" s="1"/>
      <c r="QWR4" s="1"/>
      <c r="QWS4" s="1"/>
      <c r="QWT4" s="1"/>
      <c r="QWU4" s="1"/>
      <c r="QWV4" s="1"/>
      <c r="QWW4" s="1"/>
      <c r="QWX4" s="1"/>
      <c r="QWY4" s="1"/>
      <c r="QWZ4" s="1"/>
      <c r="QXA4" s="1"/>
      <c r="QXB4" s="1"/>
      <c r="QXC4" s="1"/>
      <c r="QXD4" s="1"/>
      <c r="QXE4" s="1"/>
      <c r="QXF4" s="1"/>
      <c r="QXG4" s="1"/>
      <c r="QXH4" s="1"/>
      <c r="QXI4" s="1"/>
      <c r="QXJ4" s="1"/>
      <c r="QXK4" s="1"/>
      <c r="QXL4" s="1"/>
      <c r="QXM4" s="1"/>
      <c r="QXN4" s="1"/>
      <c r="QXO4" s="1"/>
      <c r="QXP4" s="1"/>
      <c r="QXQ4" s="1"/>
      <c r="QXR4" s="1"/>
      <c r="QXS4" s="1"/>
      <c r="QXT4" s="1"/>
      <c r="QXU4" s="1"/>
      <c r="QXV4" s="1"/>
      <c r="QXW4" s="1"/>
      <c r="QXX4" s="1"/>
      <c r="QXY4" s="1"/>
      <c r="QXZ4" s="1"/>
      <c r="QYA4" s="1"/>
      <c r="QYB4" s="1"/>
      <c r="QYC4" s="1"/>
      <c r="QYD4" s="1"/>
      <c r="QYE4" s="1"/>
      <c r="QYF4" s="1"/>
      <c r="QYG4" s="1"/>
      <c r="QYH4" s="1"/>
      <c r="QYI4" s="1"/>
      <c r="QYJ4" s="1"/>
      <c r="QYK4" s="1"/>
      <c r="QYL4" s="1"/>
      <c r="QYM4" s="1"/>
      <c r="QYN4" s="1"/>
      <c r="QYO4" s="1"/>
      <c r="QYP4" s="1"/>
      <c r="QYQ4" s="1"/>
      <c r="QYR4" s="1"/>
      <c r="QYS4" s="1"/>
      <c r="QYT4" s="1"/>
      <c r="QYU4" s="1"/>
      <c r="QYV4" s="1"/>
      <c r="QYW4" s="1"/>
      <c r="QYX4" s="1"/>
      <c r="QYY4" s="1"/>
      <c r="QYZ4" s="1"/>
      <c r="QZA4" s="1"/>
      <c r="QZB4" s="1"/>
      <c r="QZC4" s="1"/>
      <c r="QZD4" s="1"/>
      <c r="QZE4" s="1"/>
      <c r="QZF4" s="1"/>
      <c r="QZG4" s="1"/>
      <c r="QZH4" s="1"/>
      <c r="QZI4" s="1"/>
      <c r="QZJ4" s="1"/>
      <c r="QZK4" s="1"/>
      <c r="QZL4" s="1"/>
      <c r="QZM4" s="1"/>
      <c r="QZN4" s="1"/>
      <c r="QZO4" s="1"/>
      <c r="QZP4" s="1"/>
      <c r="QZQ4" s="1"/>
      <c r="QZR4" s="1"/>
      <c r="QZS4" s="1"/>
      <c r="QZT4" s="1"/>
      <c r="QZU4" s="1"/>
      <c r="QZV4" s="1"/>
      <c r="QZW4" s="1"/>
      <c r="QZX4" s="1"/>
      <c r="QZY4" s="1"/>
      <c r="QZZ4" s="1"/>
      <c r="RAA4" s="1"/>
      <c r="RAB4" s="1"/>
      <c r="RAC4" s="1"/>
      <c r="RAD4" s="1"/>
      <c r="RAE4" s="1"/>
      <c r="RAF4" s="1"/>
      <c r="RAG4" s="1"/>
      <c r="RAH4" s="1"/>
      <c r="RAI4" s="1"/>
      <c r="RAJ4" s="1"/>
      <c r="RAK4" s="1"/>
      <c r="RAL4" s="1"/>
      <c r="RAM4" s="1"/>
      <c r="RAN4" s="1"/>
      <c r="RAO4" s="1"/>
      <c r="RAP4" s="1"/>
      <c r="RAQ4" s="1"/>
      <c r="RAR4" s="1"/>
      <c r="RAS4" s="1"/>
      <c r="RAT4" s="1"/>
      <c r="RAU4" s="1"/>
      <c r="RAV4" s="1"/>
      <c r="RAW4" s="1"/>
      <c r="RAX4" s="1"/>
      <c r="RAY4" s="1"/>
      <c r="RAZ4" s="1"/>
      <c r="RBA4" s="1"/>
      <c r="RBB4" s="1"/>
      <c r="RBC4" s="1"/>
      <c r="RBD4" s="1"/>
      <c r="RBE4" s="1"/>
      <c r="RBF4" s="1"/>
      <c r="RBG4" s="1"/>
      <c r="RBH4" s="1"/>
      <c r="RBI4" s="1"/>
      <c r="RBJ4" s="1"/>
      <c r="RBK4" s="1"/>
      <c r="RBL4" s="1"/>
      <c r="RBM4" s="1"/>
      <c r="RBN4" s="1"/>
      <c r="RBO4" s="1"/>
      <c r="RBP4" s="1"/>
      <c r="RBQ4" s="1"/>
      <c r="RBR4" s="1"/>
      <c r="RBS4" s="1"/>
      <c r="RBT4" s="1"/>
      <c r="RBU4" s="1"/>
      <c r="RBV4" s="1"/>
      <c r="RBW4" s="1"/>
      <c r="RBX4" s="1"/>
      <c r="RBY4" s="1"/>
      <c r="RBZ4" s="1"/>
      <c r="RCA4" s="1"/>
      <c r="RCB4" s="1"/>
      <c r="RCC4" s="1"/>
      <c r="RCD4" s="1"/>
      <c r="RCE4" s="1"/>
      <c r="RCF4" s="1"/>
      <c r="RCG4" s="1"/>
      <c r="RCH4" s="1"/>
      <c r="RCI4" s="1"/>
      <c r="RCJ4" s="1"/>
      <c r="RCK4" s="1"/>
      <c r="RCL4" s="1"/>
      <c r="RCM4" s="1"/>
      <c r="RCN4" s="1"/>
      <c r="RCO4" s="1"/>
      <c r="RCP4" s="1"/>
      <c r="RCQ4" s="1"/>
      <c r="RCR4" s="1"/>
      <c r="RCS4" s="1"/>
      <c r="RCT4" s="1"/>
      <c r="RCU4" s="1"/>
      <c r="RCV4" s="1"/>
      <c r="RCW4" s="1"/>
      <c r="RCX4" s="1"/>
      <c r="RCY4" s="1"/>
      <c r="RCZ4" s="1"/>
      <c r="RDA4" s="1"/>
      <c r="RDB4" s="1"/>
      <c r="RDC4" s="1"/>
      <c r="RDD4" s="1"/>
      <c r="RDE4" s="1"/>
      <c r="RDF4" s="1"/>
      <c r="RDG4" s="1"/>
      <c r="RDH4" s="1"/>
      <c r="RDI4" s="1"/>
      <c r="RDJ4" s="1"/>
      <c r="RDK4" s="1"/>
      <c r="RDL4" s="1"/>
      <c r="RDM4" s="1"/>
      <c r="RDN4" s="1"/>
      <c r="RDO4" s="1"/>
      <c r="RDP4" s="1"/>
      <c r="RDQ4" s="1"/>
      <c r="RDR4" s="1"/>
      <c r="RDS4" s="1"/>
      <c r="RDT4" s="1"/>
      <c r="RDU4" s="1"/>
      <c r="RDV4" s="1"/>
      <c r="RDW4" s="1"/>
      <c r="RDX4" s="1"/>
      <c r="RDY4" s="1"/>
      <c r="RDZ4" s="1"/>
      <c r="REA4" s="1"/>
      <c r="REB4" s="1"/>
      <c r="REC4" s="1"/>
      <c r="RED4" s="1"/>
      <c r="REE4" s="1"/>
      <c r="REF4" s="1"/>
      <c r="REG4" s="1"/>
      <c r="REH4" s="1"/>
      <c r="REI4" s="1"/>
      <c r="REJ4" s="1"/>
      <c r="REK4" s="1"/>
      <c r="REL4" s="1"/>
      <c r="REM4" s="1"/>
      <c r="REN4" s="1"/>
      <c r="REO4" s="1"/>
      <c r="REP4" s="1"/>
      <c r="REQ4" s="1"/>
      <c r="RER4" s="1"/>
      <c r="RES4" s="1"/>
      <c r="RET4" s="1"/>
      <c r="REU4" s="1"/>
      <c r="REV4" s="1"/>
      <c r="REW4" s="1"/>
      <c r="REX4" s="1"/>
      <c r="REY4" s="1"/>
      <c r="REZ4" s="1"/>
      <c r="RFA4" s="1"/>
      <c r="RFB4" s="1"/>
      <c r="RFC4" s="1"/>
      <c r="RFD4" s="1"/>
      <c r="RFE4" s="1"/>
      <c r="RFF4" s="1"/>
      <c r="RFG4" s="1"/>
      <c r="RFH4" s="1"/>
      <c r="RFI4" s="1"/>
      <c r="RFJ4" s="1"/>
      <c r="RFK4" s="1"/>
      <c r="RFL4" s="1"/>
      <c r="RFM4" s="1"/>
      <c r="RFN4" s="1"/>
      <c r="RFO4" s="1"/>
      <c r="RFP4" s="1"/>
      <c r="RFQ4" s="1"/>
      <c r="RFR4" s="1"/>
      <c r="RFS4" s="1"/>
      <c r="RFT4" s="1"/>
      <c r="RFU4" s="1"/>
      <c r="RFV4" s="1"/>
      <c r="RFW4" s="1"/>
      <c r="RFX4" s="1"/>
      <c r="RFY4" s="1"/>
      <c r="RFZ4" s="1"/>
      <c r="RGA4" s="1"/>
      <c r="RGB4" s="1"/>
      <c r="RGC4" s="1"/>
      <c r="RGD4" s="1"/>
      <c r="RGE4" s="1"/>
      <c r="RGF4" s="1"/>
      <c r="RGG4" s="1"/>
      <c r="RGH4" s="1"/>
      <c r="RGI4" s="1"/>
      <c r="RGJ4" s="1"/>
      <c r="RGK4" s="1"/>
      <c r="RGL4" s="1"/>
      <c r="RGM4" s="1"/>
      <c r="RGN4" s="1"/>
      <c r="RGO4" s="1"/>
      <c r="RGP4" s="1"/>
      <c r="RGQ4" s="1"/>
      <c r="RGR4" s="1"/>
      <c r="RGS4" s="1"/>
      <c r="RGT4" s="1"/>
      <c r="RGU4" s="1"/>
      <c r="RGV4" s="1"/>
      <c r="RGW4" s="1"/>
      <c r="RGX4" s="1"/>
      <c r="RGY4" s="1"/>
      <c r="RGZ4" s="1"/>
      <c r="RHA4" s="1"/>
      <c r="RHB4" s="1"/>
      <c r="RHC4" s="1"/>
      <c r="RHD4" s="1"/>
      <c r="RHE4" s="1"/>
      <c r="RHF4" s="1"/>
      <c r="RHG4" s="1"/>
      <c r="RHH4" s="1"/>
      <c r="RHI4" s="1"/>
      <c r="RHJ4" s="1"/>
      <c r="RHK4" s="1"/>
      <c r="RHL4" s="1"/>
      <c r="RHM4" s="1"/>
      <c r="RHN4" s="1"/>
      <c r="RHO4" s="1"/>
      <c r="RHP4" s="1"/>
      <c r="RHQ4" s="1"/>
      <c r="RHR4" s="1"/>
      <c r="RHS4" s="1"/>
      <c r="RHT4" s="1"/>
      <c r="RHU4" s="1"/>
      <c r="RHV4" s="1"/>
      <c r="RHW4" s="1"/>
      <c r="RHX4" s="1"/>
      <c r="RHY4" s="1"/>
      <c r="RHZ4" s="1"/>
      <c r="RIA4" s="1"/>
      <c r="RIB4" s="1"/>
      <c r="RIC4" s="1"/>
      <c r="RID4" s="1"/>
      <c r="RIE4" s="1"/>
      <c r="RIF4" s="1"/>
      <c r="RIG4" s="1"/>
      <c r="RIH4" s="1"/>
      <c r="RII4" s="1"/>
      <c r="RIJ4" s="1"/>
      <c r="RIK4" s="1"/>
      <c r="RIL4" s="1"/>
      <c r="RIM4" s="1"/>
      <c r="RIN4" s="1"/>
      <c r="RIO4" s="1"/>
      <c r="RIP4" s="1"/>
      <c r="RIQ4" s="1"/>
      <c r="RIR4" s="1"/>
      <c r="RIS4" s="1"/>
      <c r="RIT4" s="1"/>
      <c r="RIU4" s="1"/>
      <c r="RIV4" s="1"/>
      <c r="RIW4" s="1"/>
      <c r="RIX4" s="1"/>
      <c r="RIY4" s="1"/>
      <c r="RIZ4" s="1"/>
      <c r="RJA4" s="1"/>
      <c r="RJB4" s="1"/>
      <c r="RJC4" s="1"/>
      <c r="RJD4" s="1"/>
      <c r="RJE4" s="1"/>
      <c r="RJF4" s="1"/>
      <c r="RJG4" s="1"/>
      <c r="RJH4" s="1"/>
      <c r="RJI4" s="1"/>
      <c r="RJJ4" s="1"/>
      <c r="RJK4" s="1"/>
      <c r="RJL4" s="1"/>
      <c r="RJM4" s="1"/>
      <c r="RJN4" s="1"/>
      <c r="RJO4" s="1"/>
      <c r="RJP4" s="1"/>
      <c r="RJQ4" s="1"/>
      <c r="RJR4" s="1"/>
      <c r="RJS4" s="1"/>
      <c r="RJT4" s="1"/>
      <c r="RJU4" s="1"/>
      <c r="RJV4" s="1"/>
      <c r="RJW4" s="1"/>
      <c r="RJX4" s="1"/>
      <c r="RJY4" s="1"/>
      <c r="RJZ4" s="1"/>
      <c r="RKA4" s="1"/>
      <c r="RKB4" s="1"/>
      <c r="RKC4" s="1"/>
      <c r="RKD4" s="1"/>
      <c r="RKE4" s="1"/>
      <c r="RKF4" s="1"/>
      <c r="RKG4" s="1"/>
      <c r="RKH4" s="1"/>
      <c r="RKI4" s="1"/>
      <c r="RKJ4" s="1"/>
      <c r="RKK4" s="1"/>
      <c r="RKL4" s="1"/>
      <c r="RKM4" s="1"/>
      <c r="RKN4" s="1"/>
      <c r="RKO4" s="1"/>
      <c r="RKP4" s="1"/>
      <c r="RKQ4" s="1"/>
      <c r="RKR4" s="1"/>
      <c r="RKS4" s="1"/>
      <c r="RKT4" s="1"/>
      <c r="RKU4" s="1"/>
      <c r="RKV4" s="1"/>
      <c r="RKW4" s="1"/>
      <c r="RKX4" s="1"/>
      <c r="RKY4" s="1"/>
      <c r="RKZ4" s="1"/>
      <c r="RLA4" s="1"/>
      <c r="RLB4" s="1"/>
      <c r="RLC4" s="1"/>
      <c r="RLD4" s="1"/>
      <c r="RLE4" s="1"/>
      <c r="RLF4" s="1"/>
      <c r="RLG4" s="1"/>
      <c r="RLH4" s="1"/>
      <c r="RLI4" s="1"/>
      <c r="RLJ4" s="1"/>
      <c r="RLK4" s="1"/>
      <c r="RLL4" s="1"/>
      <c r="RLM4" s="1"/>
      <c r="RLN4" s="1"/>
      <c r="RLO4" s="1"/>
      <c r="RLP4" s="1"/>
      <c r="RLQ4" s="1"/>
      <c r="RLR4" s="1"/>
      <c r="RLS4" s="1"/>
      <c r="RLT4" s="1"/>
      <c r="RLU4" s="1"/>
      <c r="RLV4" s="1"/>
      <c r="RLW4" s="1"/>
      <c r="RLX4" s="1"/>
      <c r="RLY4" s="1"/>
      <c r="RLZ4" s="1"/>
      <c r="RMA4" s="1"/>
      <c r="RMB4" s="1"/>
      <c r="RMC4" s="1"/>
      <c r="RMD4" s="1"/>
      <c r="RME4" s="1"/>
      <c r="RMF4" s="1"/>
      <c r="RMG4" s="1"/>
      <c r="RMH4" s="1"/>
      <c r="RMI4" s="1"/>
      <c r="RMJ4" s="1"/>
      <c r="RMK4" s="1"/>
      <c r="RML4" s="1"/>
      <c r="RMM4" s="1"/>
      <c r="RMN4" s="1"/>
      <c r="RMO4" s="1"/>
      <c r="RMP4" s="1"/>
      <c r="RMQ4" s="1"/>
      <c r="RMR4" s="1"/>
      <c r="RMS4" s="1"/>
      <c r="RMT4" s="1"/>
      <c r="RMU4" s="1"/>
      <c r="RMV4" s="1"/>
      <c r="RMW4" s="1"/>
      <c r="RMX4" s="1"/>
      <c r="RMY4" s="1"/>
      <c r="RMZ4" s="1"/>
      <c r="RNA4" s="1"/>
      <c r="RNB4" s="1"/>
      <c r="RNC4" s="1"/>
      <c r="RND4" s="1"/>
      <c r="RNE4" s="1"/>
      <c r="RNF4" s="1"/>
      <c r="RNG4" s="1"/>
      <c r="RNH4" s="1"/>
      <c r="RNI4" s="1"/>
      <c r="RNJ4" s="1"/>
      <c r="RNK4" s="1"/>
      <c r="RNL4" s="1"/>
      <c r="RNM4" s="1"/>
      <c r="RNN4" s="1"/>
      <c r="RNO4" s="1"/>
      <c r="RNP4" s="1"/>
      <c r="RNQ4" s="1"/>
      <c r="RNR4" s="1"/>
      <c r="RNS4" s="1"/>
      <c r="RNT4" s="1"/>
      <c r="RNU4" s="1"/>
      <c r="RNV4" s="1"/>
      <c r="RNW4" s="1"/>
      <c r="RNX4" s="1"/>
      <c r="RNY4" s="1"/>
      <c r="RNZ4" s="1"/>
      <c r="ROA4" s="1"/>
      <c r="ROB4" s="1"/>
      <c r="ROC4" s="1"/>
      <c r="ROD4" s="1"/>
      <c r="ROE4" s="1"/>
      <c r="ROF4" s="1"/>
      <c r="ROG4" s="1"/>
      <c r="ROH4" s="1"/>
      <c r="ROI4" s="1"/>
      <c r="ROJ4" s="1"/>
      <c r="ROK4" s="1"/>
      <c r="ROL4" s="1"/>
      <c r="ROM4" s="1"/>
      <c r="RON4" s="1"/>
      <c r="ROO4" s="1"/>
      <c r="ROP4" s="1"/>
      <c r="ROQ4" s="1"/>
      <c r="ROR4" s="1"/>
      <c r="ROS4" s="1"/>
      <c r="ROT4" s="1"/>
      <c r="ROU4" s="1"/>
      <c r="ROV4" s="1"/>
      <c r="ROW4" s="1"/>
      <c r="ROX4" s="1"/>
      <c r="ROY4" s="1"/>
      <c r="ROZ4" s="1"/>
      <c r="RPA4" s="1"/>
      <c r="RPB4" s="1"/>
      <c r="RPC4" s="1"/>
      <c r="RPD4" s="1"/>
      <c r="RPE4" s="1"/>
      <c r="RPF4" s="1"/>
      <c r="RPG4" s="1"/>
      <c r="RPH4" s="1"/>
      <c r="RPI4" s="1"/>
      <c r="RPJ4" s="1"/>
      <c r="RPK4" s="1"/>
      <c r="RPL4" s="1"/>
      <c r="RPM4" s="1"/>
      <c r="RPN4" s="1"/>
      <c r="RPO4" s="1"/>
      <c r="RPP4" s="1"/>
      <c r="RPQ4" s="1"/>
      <c r="RPR4" s="1"/>
      <c r="RPS4" s="1"/>
      <c r="RPT4" s="1"/>
      <c r="RPU4" s="1"/>
      <c r="RPV4" s="1"/>
      <c r="RPW4" s="1"/>
      <c r="RPX4" s="1"/>
      <c r="RPY4" s="1"/>
      <c r="RPZ4" s="1"/>
      <c r="RQA4" s="1"/>
      <c r="RQB4" s="1"/>
      <c r="RQC4" s="1"/>
      <c r="RQD4" s="1"/>
      <c r="RQE4" s="1"/>
      <c r="RQF4" s="1"/>
      <c r="RQG4" s="1"/>
      <c r="RQH4" s="1"/>
      <c r="RQI4" s="1"/>
      <c r="RQJ4" s="1"/>
      <c r="RQK4" s="1"/>
      <c r="RQL4" s="1"/>
      <c r="RQM4" s="1"/>
      <c r="RQN4" s="1"/>
      <c r="RQO4" s="1"/>
      <c r="RQP4" s="1"/>
      <c r="RQQ4" s="1"/>
      <c r="RQR4" s="1"/>
      <c r="RQS4" s="1"/>
      <c r="RQT4" s="1"/>
      <c r="RQU4" s="1"/>
      <c r="RQV4" s="1"/>
      <c r="RQW4" s="1"/>
      <c r="RQX4" s="1"/>
      <c r="RQY4" s="1"/>
      <c r="RQZ4" s="1"/>
      <c r="RRA4" s="1"/>
      <c r="RRB4" s="1"/>
      <c r="RRC4" s="1"/>
      <c r="RRD4" s="1"/>
      <c r="RRE4" s="1"/>
      <c r="RRF4" s="1"/>
      <c r="RRG4" s="1"/>
      <c r="RRH4" s="1"/>
      <c r="RRI4" s="1"/>
      <c r="RRJ4" s="1"/>
      <c r="RRK4" s="1"/>
      <c r="RRL4" s="1"/>
      <c r="RRM4" s="1"/>
      <c r="RRN4" s="1"/>
      <c r="RRO4" s="1"/>
      <c r="RRP4" s="1"/>
      <c r="RRQ4" s="1"/>
      <c r="RRR4" s="1"/>
      <c r="RRS4" s="1"/>
      <c r="RRT4" s="1"/>
      <c r="RRU4" s="1"/>
      <c r="RRV4" s="1"/>
      <c r="RRW4" s="1"/>
      <c r="RRX4" s="1"/>
      <c r="RRY4" s="1"/>
      <c r="RRZ4" s="1"/>
      <c r="RSA4" s="1"/>
      <c r="RSB4" s="1"/>
      <c r="RSC4" s="1"/>
      <c r="RSD4" s="1"/>
      <c r="RSE4" s="1"/>
      <c r="RSF4" s="1"/>
      <c r="RSG4" s="1"/>
      <c r="RSH4" s="1"/>
      <c r="RSI4" s="1"/>
      <c r="RSJ4" s="1"/>
      <c r="RSK4" s="1"/>
      <c r="RSL4" s="1"/>
      <c r="RSM4" s="1"/>
      <c r="RSN4" s="1"/>
      <c r="RSO4" s="1"/>
      <c r="RSP4" s="1"/>
      <c r="RSQ4" s="1"/>
      <c r="RSR4" s="1"/>
      <c r="RSS4" s="1"/>
      <c r="RST4" s="1"/>
      <c r="RSU4" s="1"/>
      <c r="RSV4" s="1"/>
      <c r="RSW4" s="1"/>
      <c r="RSX4" s="1"/>
      <c r="RSY4" s="1"/>
      <c r="RSZ4" s="1"/>
      <c r="RTA4" s="1"/>
      <c r="RTB4" s="1"/>
      <c r="RTC4" s="1"/>
      <c r="RTD4" s="1"/>
      <c r="RTE4" s="1"/>
      <c r="RTF4" s="1"/>
      <c r="RTG4" s="1"/>
      <c r="RTH4" s="1"/>
      <c r="RTI4" s="1"/>
      <c r="RTJ4" s="1"/>
      <c r="RTK4" s="1"/>
      <c r="RTL4" s="1"/>
      <c r="RTM4" s="1"/>
      <c r="RTN4" s="1"/>
      <c r="RTO4" s="1"/>
      <c r="RTP4" s="1"/>
      <c r="RTQ4" s="1"/>
      <c r="RTR4" s="1"/>
      <c r="RTS4" s="1"/>
      <c r="RTT4" s="1"/>
      <c r="RTU4" s="1"/>
      <c r="RTV4" s="1"/>
      <c r="RTW4" s="1"/>
      <c r="RTX4" s="1"/>
      <c r="RTY4" s="1"/>
      <c r="RTZ4" s="1"/>
      <c r="RUA4" s="1"/>
      <c r="RUB4" s="1"/>
      <c r="RUC4" s="1"/>
      <c r="RUD4" s="1"/>
      <c r="RUE4" s="1"/>
      <c r="RUF4" s="1"/>
      <c r="RUG4" s="1"/>
      <c r="RUH4" s="1"/>
      <c r="RUI4" s="1"/>
      <c r="RUJ4" s="1"/>
      <c r="RUK4" s="1"/>
      <c r="RUL4" s="1"/>
      <c r="RUM4" s="1"/>
      <c r="RUN4" s="1"/>
      <c r="RUO4" s="1"/>
      <c r="RUP4" s="1"/>
      <c r="RUQ4" s="1"/>
      <c r="RUR4" s="1"/>
      <c r="RUS4" s="1"/>
      <c r="RUT4" s="1"/>
      <c r="RUU4" s="1"/>
      <c r="RUV4" s="1"/>
      <c r="RUW4" s="1"/>
      <c r="RUX4" s="1"/>
      <c r="RUY4" s="1"/>
      <c r="RUZ4" s="1"/>
      <c r="RVA4" s="1"/>
      <c r="RVB4" s="1"/>
      <c r="RVC4" s="1"/>
      <c r="RVD4" s="1"/>
      <c r="RVE4" s="1"/>
      <c r="RVF4" s="1"/>
      <c r="RVG4" s="1"/>
      <c r="RVH4" s="1"/>
      <c r="RVI4" s="1"/>
      <c r="RVJ4" s="1"/>
      <c r="RVK4" s="1"/>
      <c r="RVL4" s="1"/>
      <c r="RVM4" s="1"/>
      <c r="RVN4" s="1"/>
      <c r="RVO4" s="1"/>
      <c r="RVP4" s="1"/>
      <c r="RVQ4" s="1"/>
      <c r="RVR4" s="1"/>
      <c r="RVS4" s="1"/>
      <c r="RVT4" s="1"/>
      <c r="RVU4" s="1"/>
      <c r="RVV4" s="1"/>
      <c r="RVW4" s="1"/>
      <c r="RVX4" s="1"/>
      <c r="RVY4" s="1"/>
      <c r="RVZ4" s="1"/>
      <c r="RWA4" s="1"/>
      <c r="RWB4" s="1"/>
      <c r="RWC4" s="1"/>
      <c r="RWD4" s="1"/>
      <c r="RWE4" s="1"/>
      <c r="RWF4" s="1"/>
      <c r="RWG4" s="1"/>
      <c r="RWH4" s="1"/>
      <c r="RWI4" s="1"/>
      <c r="RWJ4" s="1"/>
      <c r="RWK4" s="1"/>
      <c r="RWL4" s="1"/>
      <c r="RWM4" s="1"/>
      <c r="RWN4" s="1"/>
      <c r="RWO4" s="1"/>
      <c r="RWP4" s="1"/>
      <c r="RWQ4" s="1"/>
      <c r="RWR4" s="1"/>
      <c r="RWS4" s="1"/>
      <c r="RWT4" s="1"/>
      <c r="RWU4" s="1"/>
      <c r="RWV4" s="1"/>
      <c r="RWW4" s="1"/>
      <c r="RWX4" s="1"/>
      <c r="RWY4" s="1"/>
      <c r="RWZ4" s="1"/>
      <c r="RXA4" s="1"/>
      <c r="RXB4" s="1"/>
      <c r="RXC4" s="1"/>
      <c r="RXD4" s="1"/>
      <c r="RXE4" s="1"/>
      <c r="RXF4" s="1"/>
      <c r="RXG4" s="1"/>
      <c r="RXH4" s="1"/>
      <c r="RXI4" s="1"/>
      <c r="RXJ4" s="1"/>
      <c r="RXK4" s="1"/>
      <c r="RXL4" s="1"/>
      <c r="RXM4" s="1"/>
      <c r="RXN4" s="1"/>
      <c r="RXO4" s="1"/>
      <c r="RXP4" s="1"/>
      <c r="RXQ4" s="1"/>
      <c r="RXR4" s="1"/>
      <c r="RXS4" s="1"/>
      <c r="RXT4" s="1"/>
      <c r="RXU4" s="1"/>
      <c r="RXV4" s="1"/>
      <c r="RXW4" s="1"/>
      <c r="RXX4" s="1"/>
      <c r="RXY4" s="1"/>
      <c r="RXZ4" s="1"/>
      <c r="RYA4" s="1"/>
      <c r="RYB4" s="1"/>
      <c r="RYC4" s="1"/>
      <c r="RYD4" s="1"/>
      <c r="RYE4" s="1"/>
      <c r="RYF4" s="1"/>
      <c r="RYG4" s="1"/>
      <c r="RYH4" s="1"/>
      <c r="RYI4" s="1"/>
      <c r="RYJ4" s="1"/>
      <c r="RYK4" s="1"/>
      <c r="RYL4" s="1"/>
      <c r="RYM4" s="1"/>
      <c r="RYN4" s="1"/>
      <c r="RYO4" s="1"/>
      <c r="RYP4" s="1"/>
      <c r="RYQ4" s="1"/>
      <c r="RYR4" s="1"/>
      <c r="RYS4" s="1"/>
      <c r="RYT4" s="1"/>
      <c r="RYU4" s="1"/>
      <c r="RYV4" s="1"/>
      <c r="RYW4" s="1"/>
      <c r="RYX4" s="1"/>
      <c r="RYY4" s="1"/>
      <c r="RYZ4" s="1"/>
      <c r="RZA4" s="1"/>
      <c r="RZB4" s="1"/>
      <c r="RZC4" s="1"/>
      <c r="RZD4" s="1"/>
      <c r="RZE4" s="1"/>
      <c r="RZF4" s="1"/>
      <c r="RZG4" s="1"/>
      <c r="RZH4" s="1"/>
      <c r="RZI4" s="1"/>
      <c r="RZJ4" s="1"/>
      <c r="RZK4" s="1"/>
      <c r="RZL4" s="1"/>
      <c r="RZM4" s="1"/>
      <c r="RZN4" s="1"/>
      <c r="RZO4" s="1"/>
      <c r="RZP4" s="1"/>
      <c r="RZQ4" s="1"/>
      <c r="RZR4" s="1"/>
      <c r="RZS4" s="1"/>
      <c r="RZT4" s="1"/>
      <c r="RZU4" s="1"/>
      <c r="RZV4" s="1"/>
      <c r="RZW4" s="1"/>
      <c r="RZX4" s="1"/>
      <c r="RZY4" s="1"/>
      <c r="RZZ4" s="1"/>
      <c r="SAA4" s="1"/>
      <c r="SAB4" s="1"/>
      <c r="SAC4" s="1"/>
      <c r="SAD4" s="1"/>
      <c r="SAE4" s="1"/>
      <c r="SAF4" s="1"/>
      <c r="SAG4" s="1"/>
      <c r="SAH4" s="1"/>
      <c r="SAI4" s="1"/>
      <c r="SAJ4" s="1"/>
      <c r="SAK4" s="1"/>
      <c r="SAL4" s="1"/>
      <c r="SAM4" s="1"/>
      <c r="SAN4" s="1"/>
      <c r="SAO4" s="1"/>
      <c r="SAP4" s="1"/>
      <c r="SAQ4" s="1"/>
      <c r="SAR4" s="1"/>
      <c r="SAS4" s="1"/>
      <c r="SAT4" s="1"/>
      <c r="SAU4" s="1"/>
      <c r="SAV4" s="1"/>
      <c r="SAW4" s="1"/>
      <c r="SAX4" s="1"/>
      <c r="SAY4" s="1"/>
      <c r="SAZ4" s="1"/>
      <c r="SBA4" s="1"/>
      <c r="SBB4" s="1"/>
      <c r="SBC4" s="1"/>
      <c r="SBD4" s="1"/>
      <c r="SBE4" s="1"/>
      <c r="SBF4" s="1"/>
      <c r="SBG4" s="1"/>
      <c r="SBH4" s="1"/>
      <c r="SBI4" s="1"/>
      <c r="SBJ4" s="1"/>
      <c r="SBK4" s="1"/>
      <c r="SBL4" s="1"/>
      <c r="SBM4" s="1"/>
      <c r="SBN4" s="1"/>
      <c r="SBO4" s="1"/>
      <c r="SBP4" s="1"/>
      <c r="SBQ4" s="1"/>
      <c r="SBR4" s="1"/>
      <c r="SBS4" s="1"/>
      <c r="SBT4" s="1"/>
      <c r="SBU4" s="1"/>
      <c r="SBV4" s="1"/>
      <c r="SBW4" s="1"/>
      <c r="SBX4" s="1"/>
      <c r="SBY4" s="1"/>
      <c r="SBZ4" s="1"/>
      <c r="SCA4" s="1"/>
      <c r="SCB4" s="1"/>
      <c r="SCC4" s="1"/>
      <c r="SCD4" s="1"/>
      <c r="SCE4" s="1"/>
      <c r="SCF4" s="1"/>
      <c r="SCG4" s="1"/>
      <c r="SCH4" s="1"/>
      <c r="SCI4" s="1"/>
      <c r="SCJ4" s="1"/>
      <c r="SCK4" s="1"/>
      <c r="SCL4" s="1"/>
      <c r="SCM4" s="1"/>
      <c r="SCN4" s="1"/>
      <c r="SCO4" s="1"/>
      <c r="SCP4" s="1"/>
      <c r="SCQ4" s="1"/>
      <c r="SCR4" s="1"/>
      <c r="SCS4" s="1"/>
      <c r="SCT4" s="1"/>
      <c r="SCU4" s="1"/>
      <c r="SCV4" s="1"/>
      <c r="SCW4" s="1"/>
      <c r="SCX4" s="1"/>
      <c r="SCY4" s="1"/>
      <c r="SCZ4" s="1"/>
      <c r="SDA4" s="1"/>
      <c r="SDB4" s="1"/>
      <c r="SDC4" s="1"/>
      <c r="SDD4" s="1"/>
      <c r="SDE4" s="1"/>
      <c r="SDF4" s="1"/>
      <c r="SDG4" s="1"/>
      <c r="SDH4" s="1"/>
      <c r="SDI4" s="1"/>
      <c r="SDJ4" s="1"/>
      <c r="SDK4" s="1"/>
      <c r="SDL4" s="1"/>
      <c r="SDM4" s="1"/>
      <c r="SDN4" s="1"/>
      <c r="SDO4" s="1"/>
      <c r="SDP4" s="1"/>
      <c r="SDQ4" s="1"/>
      <c r="SDR4" s="1"/>
      <c r="SDS4" s="1"/>
      <c r="SDT4" s="1"/>
      <c r="SDU4" s="1"/>
      <c r="SDV4" s="1"/>
      <c r="SDW4" s="1"/>
      <c r="SDX4" s="1"/>
      <c r="SDY4" s="1"/>
      <c r="SDZ4" s="1"/>
      <c r="SEA4" s="1"/>
      <c r="SEB4" s="1"/>
      <c r="SEC4" s="1"/>
      <c r="SED4" s="1"/>
      <c r="SEE4" s="1"/>
      <c r="SEF4" s="1"/>
      <c r="SEG4" s="1"/>
      <c r="SEH4" s="1"/>
      <c r="SEI4" s="1"/>
      <c r="SEJ4" s="1"/>
      <c r="SEK4" s="1"/>
      <c r="SEL4" s="1"/>
      <c r="SEM4" s="1"/>
      <c r="SEN4" s="1"/>
      <c r="SEO4" s="1"/>
      <c r="SEP4" s="1"/>
      <c r="SEQ4" s="1"/>
      <c r="SER4" s="1"/>
      <c r="SES4" s="1"/>
      <c r="SET4" s="1"/>
      <c r="SEU4" s="1"/>
      <c r="SEV4" s="1"/>
      <c r="SEW4" s="1"/>
      <c r="SEX4" s="1"/>
      <c r="SEY4" s="1"/>
      <c r="SEZ4" s="1"/>
      <c r="SFA4" s="1"/>
      <c r="SFB4" s="1"/>
      <c r="SFC4" s="1"/>
      <c r="SFD4" s="1"/>
      <c r="SFE4" s="1"/>
      <c r="SFF4" s="1"/>
      <c r="SFG4" s="1"/>
      <c r="SFH4" s="1"/>
      <c r="SFI4" s="1"/>
      <c r="SFJ4" s="1"/>
      <c r="SFK4" s="1"/>
      <c r="SFL4" s="1"/>
      <c r="SFM4" s="1"/>
      <c r="SFN4" s="1"/>
      <c r="SFO4" s="1"/>
      <c r="SFP4" s="1"/>
      <c r="SFQ4" s="1"/>
      <c r="SFR4" s="1"/>
      <c r="SFS4" s="1"/>
      <c r="SFT4" s="1"/>
      <c r="SFU4" s="1"/>
      <c r="SFV4" s="1"/>
      <c r="SFW4" s="1"/>
      <c r="SFX4" s="1"/>
      <c r="SFY4" s="1"/>
      <c r="SFZ4" s="1"/>
      <c r="SGA4" s="1"/>
      <c r="SGB4" s="1"/>
      <c r="SGC4" s="1"/>
      <c r="SGD4" s="1"/>
      <c r="SGE4" s="1"/>
      <c r="SGF4" s="1"/>
      <c r="SGG4" s="1"/>
      <c r="SGH4" s="1"/>
      <c r="SGI4" s="1"/>
      <c r="SGJ4" s="1"/>
      <c r="SGK4" s="1"/>
      <c r="SGL4" s="1"/>
      <c r="SGM4" s="1"/>
      <c r="SGN4" s="1"/>
      <c r="SGO4" s="1"/>
      <c r="SGP4" s="1"/>
      <c r="SGQ4" s="1"/>
      <c r="SGR4" s="1"/>
      <c r="SGS4" s="1"/>
      <c r="SGT4" s="1"/>
      <c r="SGU4" s="1"/>
      <c r="SGV4" s="1"/>
      <c r="SGW4" s="1"/>
      <c r="SGX4" s="1"/>
      <c r="SGY4" s="1"/>
      <c r="SGZ4" s="1"/>
      <c r="SHA4" s="1"/>
      <c r="SHB4" s="1"/>
      <c r="SHC4" s="1"/>
      <c r="SHD4" s="1"/>
      <c r="SHE4" s="1"/>
      <c r="SHF4" s="1"/>
      <c r="SHG4" s="1"/>
      <c r="SHH4" s="1"/>
      <c r="SHI4" s="1"/>
      <c r="SHJ4" s="1"/>
      <c r="SHK4" s="1"/>
      <c r="SHL4" s="1"/>
      <c r="SHM4" s="1"/>
      <c r="SHN4" s="1"/>
      <c r="SHO4" s="1"/>
      <c r="SHP4" s="1"/>
      <c r="SHQ4" s="1"/>
      <c r="SHR4" s="1"/>
      <c r="SHS4" s="1"/>
      <c r="SHT4" s="1"/>
      <c r="SHU4" s="1"/>
      <c r="SHV4" s="1"/>
      <c r="SHW4" s="1"/>
      <c r="SHX4" s="1"/>
      <c r="SHY4" s="1"/>
      <c r="SHZ4" s="1"/>
      <c r="SIA4" s="1"/>
      <c r="SIB4" s="1"/>
      <c r="SIC4" s="1"/>
      <c r="SID4" s="1"/>
      <c r="SIE4" s="1"/>
      <c r="SIF4" s="1"/>
      <c r="SIG4" s="1"/>
      <c r="SIH4" s="1"/>
      <c r="SII4" s="1"/>
      <c r="SIJ4" s="1"/>
      <c r="SIK4" s="1"/>
      <c r="SIL4" s="1"/>
      <c r="SIM4" s="1"/>
      <c r="SIN4" s="1"/>
      <c r="SIO4" s="1"/>
      <c r="SIP4" s="1"/>
      <c r="SIQ4" s="1"/>
      <c r="SIR4" s="1"/>
      <c r="SIS4" s="1"/>
      <c r="SIT4" s="1"/>
      <c r="SIU4" s="1"/>
      <c r="SIV4" s="1"/>
      <c r="SIW4" s="1"/>
      <c r="SIX4" s="1"/>
      <c r="SIY4" s="1"/>
      <c r="SIZ4" s="1"/>
      <c r="SJA4" s="1"/>
      <c r="SJB4" s="1"/>
      <c r="SJC4" s="1"/>
      <c r="SJD4" s="1"/>
      <c r="SJE4" s="1"/>
      <c r="SJF4" s="1"/>
      <c r="SJG4" s="1"/>
      <c r="SJH4" s="1"/>
      <c r="SJI4" s="1"/>
      <c r="SJJ4" s="1"/>
      <c r="SJK4" s="1"/>
      <c r="SJL4" s="1"/>
      <c r="SJM4" s="1"/>
      <c r="SJN4" s="1"/>
      <c r="SJO4" s="1"/>
      <c r="SJP4" s="1"/>
      <c r="SJQ4" s="1"/>
      <c r="SJR4" s="1"/>
      <c r="SJS4" s="1"/>
      <c r="SJT4" s="1"/>
      <c r="SJU4" s="1"/>
      <c r="SJV4" s="1"/>
      <c r="SJW4" s="1"/>
      <c r="SJX4" s="1"/>
      <c r="SJY4" s="1"/>
      <c r="SJZ4" s="1"/>
      <c r="SKA4" s="1"/>
      <c r="SKB4" s="1"/>
      <c r="SKC4" s="1"/>
      <c r="SKD4" s="1"/>
      <c r="SKE4" s="1"/>
      <c r="SKF4" s="1"/>
      <c r="SKG4" s="1"/>
      <c r="SKH4" s="1"/>
      <c r="SKI4" s="1"/>
      <c r="SKJ4" s="1"/>
      <c r="SKK4" s="1"/>
      <c r="SKL4" s="1"/>
      <c r="SKM4" s="1"/>
      <c r="SKN4" s="1"/>
      <c r="SKO4" s="1"/>
      <c r="SKP4" s="1"/>
      <c r="SKQ4" s="1"/>
      <c r="SKR4" s="1"/>
      <c r="SKS4" s="1"/>
      <c r="SKT4" s="1"/>
      <c r="SKU4" s="1"/>
      <c r="SKV4" s="1"/>
      <c r="SKW4" s="1"/>
      <c r="SKX4" s="1"/>
      <c r="SKY4" s="1"/>
      <c r="SKZ4" s="1"/>
      <c r="SLA4" s="1"/>
      <c r="SLB4" s="1"/>
      <c r="SLC4" s="1"/>
      <c r="SLD4" s="1"/>
      <c r="SLE4" s="1"/>
      <c r="SLF4" s="1"/>
      <c r="SLG4" s="1"/>
      <c r="SLH4" s="1"/>
      <c r="SLI4" s="1"/>
      <c r="SLJ4" s="1"/>
      <c r="SLK4" s="1"/>
      <c r="SLL4" s="1"/>
      <c r="SLM4" s="1"/>
      <c r="SLN4" s="1"/>
      <c r="SLO4" s="1"/>
      <c r="SLP4" s="1"/>
      <c r="SLQ4" s="1"/>
      <c r="SLR4" s="1"/>
      <c r="SLS4" s="1"/>
      <c r="SLT4" s="1"/>
      <c r="SLU4" s="1"/>
      <c r="SLV4" s="1"/>
      <c r="SLW4" s="1"/>
      <c r="SLX4" s="1"/>
      <c r="SLY4" s="1"/>
      <c r="SLZ4" s="1"/>
      <c r="SMA4" s="1"/>
      <c r="SMB4" s="1"/>
      <c r="SMC4" s="1"/>
      <c r="SMD4" s="1"/>
      <c r="SME4" s="1"/>
      <c r="SMF4" s="1"/>
      <c r="SMG4" s="1"/>
      <c r="SMH4" s="1"/>
      <c r="SMI4" s="1"/>
      <c r="SMJ4" s="1"/>
      <c r="SMK4" s="1"/>
      <c r="SML4" s="1"/>
      <c r="SMM4" s="1"/>
      <c r="SMN4" s="1"/>
      <c r="SMO4" s="1"/>
      <c r="SMP4" s="1"/>
      <c r="SMQ4" s="1"/>
      <c r="SMR4" s="1"/>
      <c r="SMS4" s="1"/>
      <c r="SMT4" s="1"/>
      <c r="SMU4" s="1"/>
      <c r="SMV4" s="1"/>
      <c r="SMW4" s="1"/>
      <c r="SMX4" s="1"/>
      <c r="SMY4" s="1"/>
      <c r="SMZ4" s="1"/>
      <c r="SNA4" s="1"/>
      <c r="SNB4" s="1"/>
      <c r="SNC4" s="1"/>
      <c r="SND4" s="1"/>
      <c r="SNE4" s="1"/>
      <c r="SNF4" s="1"/>
      <c r="SNG4" s="1"/>
      <c r="SNH4" s="1"/>
      <c r="SNI4" s="1"/>
      <c r="SNJ4" s="1"/>
      <c r="SNK4" s="1"/>
      <c r="SNL4" s="1"/>
      <c r="SNM4" s="1"/>
      <c r="SNN4" s="1"/>
      <c r="SNO4" s="1"/>
      <c r="SNP4" s="1"/>
      <c r="SNQ4" s="1"/>
      <c r="SNR4" s="1"/>
      <c r="SNS4" s="1"/>
      <c r="SNT4" s="1"/>
      <c r="SNU4" s="1"/>
      <c r="SNV4" s="1"/>
      <c r="SNW4" s="1"/>
      <c r="SNX4" s="1"/>
      <c r="SNY4" s="1"/>
      <c r="SNZ4" s="1"/>
      <c r="SOA4" s="1"/>
      <c r="SOB4" s="1"/>
      <c r="SOC4" s="1"/>
      <c r="SOD4" s="1"/>
      <c r="SOE4" s="1"/>
      <c r="SOF4" s="1"/>
      <c r="SOG4" s="1"/>
      <c r="SOH4" s="1"/>
      <c r="SOI4" s="1"/>
      <c r="SOJ4" s="1"/>
      <c r="SOK4" s="1"/>
      <c r="SOL4" s="1"/>
      <c r="SOM4" s="1"/>
      <c r="SON4" s="1"/>
      <c r="SOO4" s="1"/>
      <c r="SOP4" s="1"/>
      <c r="SOQ4" s="1"/>
      <c r="SOR4" s="1"/>
      <c r="SOS4" s="1"/>
      <c r="SOT4" s="1"/>
      <c r="SOU4" s="1"/>
      <c r="SOV4" s="1"/>
      <c r="SOW4" s="1"/>
      <c r="SOX4" s="1"/>
      <c r="SOY4" s="1"/>
      <c r="SOZ4" s="1"/>
      <c r="SPA4" s="1"/>
      <c r="SPB4" s="1"/>
      <c r="SPC4" s="1"/>
      <c r="SPD4" s="1"/>
      <c r="SPE4" s="1"/>
      <c r="SPF4" s="1"/>
      <c r="SPG4" s="1"/>
      <c r="SPH4" s="1"/>
      <c r="SPI4" s="1"/>
      <c r="SPJ4" s="1"/>
      <c r="SPK4" s="1"/>
      <c r="SPL4" s="1"/>
      <c r="SPM4" s="1"/>
      <c r="SPN4" s="1"/>
      <c r="SPO4" s="1"/>
      <c r="SPP4" s="1"/>
      <c r="SPQ4" s="1"/>
      <c r="SPR4" s="1"/>
      <c r="SPS4" s="1"/>
      <c r="SPT4" s="1"/>
      <c r="SPU4" s="1"/>
      <c r="SPV4" s="1"/>
      <c r="SPW4" s="1"/>
      <c r="SPX4" s="1"/>
      <c r="SPY4" s="1"/>
      <c r="SPZ4" s="1"/>
      <c r="SQA4" s="1"/>
      <c r="SQB4" s="1"/>
      <c r="SQC4" s="1"/>
      <c r="SQD4" s="1"/>
      <c r="SQE4" s="1"/>
      <c r="SQF4" s="1"/>
      <c r="SQG4" s="1"/>
      <c r="SQH4" s="1"/>
      <c r="SQI4" s="1"/>
      <c r="SQJ4" s="1"/>
      <c r="SQK4" s="1"/>
      <c r="SQL4" s="1"/>
      <c r="SQM4" s="1"/>
      <c r="SQN4" s="1"/>
      <c r="SQO4" s="1"/>
      <c r="SQP4" s="1"/>
      <c r="SQQ4" s="1"/>
      <c r="SQR4" s="1"/>
      <c r="SQS4" s="1"/>
      <c r="SQT4" s="1"/>
      <c r="SQU4" s="1"/>
      <c r="SQV4" s="1"/>
      <c r="SQW4" s="1"/>
      <c r="SQX4" s="1"/>
      <c r="SQY4" s="1"/>
      <c r="SQZ4" s="1"/>
      <c r="SRA4" s="1"/>
      <c r="SRB4" s="1"/>
      <c r="SRC4" s="1"/>
      <c r="SRD4" s="1"/>
      <c r="SRE4" s="1"/>
      <c r="SRF4" s="1"/>
      <c r="SRG4" s="1"/>
      <c r="SRH4" s="1"/>
      <c r="SRI4" s="1"/>
      <c r="SRJ4" s="1"/>
      <c r="SRK4" s="1"/>
      <c r="SRL4" s="1"/>
      <c r="SRM4" s="1"/>
      <c r="SRN4" s="1"/>
      <c r="SRO4" s="1"/>
      <c r="SRP4" s="1"/>
      <c r="SRQ4" s="1"/>
      <c r="SRR4" s="1"/>
      <c r="SRS4" s="1"/>
      <c r="SRT4" s="1"/>
      <c r="SRU4" s="1"/>
      <c r="SRV4" s="1"/>
      <c r="SRW4" s="1"/>
      <c r="SRX4" s="1"/>
      <c r="SRY4" s="1"/>
      <c r="SRZ4" s="1"/>
      <c r="SSA4" s="1"/>
      <c r="SSB4" s="1"/>
      <c r="SSC4" s="1"/>
      <c r="SSD4" s="1"/>
      <c r="SSE4" s="1"/>
      <c r="SSF4" s="1"/>
      <c r="SSG4" s="1"/>
      <c r="SSH4" s="1"/>
      <c r="SSI4" s="1"/>
      <c r="SSJ4" s="1"/>
      <c r="SSK4" s="1"/>
      <c r="SSL4" s="1"/>
      <c r="SSM4" s="1"/>
      <c r="SSN4" s="1"/>
      <c r="SSO4" s="1"/>
      <c r="SSP4" s="1"/>
      <c r="SSQ4" s="1"/>
      <c r="SSR4" s="1"/>
      <c r="SSS4" s="1"/>
      <c r="SST4" s="1"/>
      <c r="SSU4" s="1"/>
      <c r="SSV4" s="1"/>
      <c r="SSW4" s="1"/>
      <c r="SSX4" s="1"/>
      <c r="SSY4" s="1"/>
      <c r="SSZ4" s="1"/>
      <c r="STA4" s="1"/>
      <c r="STB4" s="1"/>
      <c r="STC4" s="1"/>
      <c r="STD4" s="1"/>
      <c r="STE4" s="1"/>
      <c r="STF4" s="1"/>
      <c r="STG4" s="1"/>
      <c r="STH4" s="1"/>
      <c r="STI4" s="1"/>
      <c r="STJ4" s="1"/>
      <c r="STK4" s="1"/>
      <c r="STL4" s="1"/>
      <c r="STM4" s="1"/>
      <c r="STN4" s="1"/>
      <c r="STO4" s="1"/>
      <c r="STP4" s="1"/>
      <c r="STQ4" s="1"/>
      <c r="STR4" s="1"/>
      <c r="STS4" s="1"/>
      <c r="STT4" s="1"/>
      <c r="STU4" s="1"/>
      <c r="STV4" s="1"/>
      <c r="STW4" s="1"/>
      <c r="STX4" s="1"/>
      <c r="STY4" s="1"/>
      <c r="STZ4" s="1"/>
      <c r="SUA4" s="1"/>
      <c r="SUB4" s="1"/>
      <c r="SUC4" s="1"/>
      <c r="SUD4" s="1"/>
      <c r="SUE4" s="1"/>
      <c r="SUF4" s="1"/>
      <c r="SUG4" s="1"/>
      <c r="SUH4" s="1"/>
      <c r="SUI4" s="1"/>
      <c r="SUJ4" s="1"/>
      <c r="SUK4" s="1"/>
      <c r="SUL4" s="1"/>
      <c r="SUM4" s="1"/>
      <c r="SUN4" s="1"/>
      <c r="SUO4" s="1"/>
      <c r="SUP4" s="1"/>
      <c r="SUQ4" s="1"/>
      <c r="SUR4" s="1"/>
      <c r="SUS4" s="1"/>
      <c r="SUT4" s="1"/>
      <c r="SUU4" s="1"/>
      <c r="SUV4" s="1"/>
      <c r="SUW4" s="1"/>
      <c r="SUX4" s="1"/>
      <c r="SUY4" s="1"/>
      <c r="SUZ4" s="1"/>
      <c r="SVA4" s="1"/>
      <c r="SVB4" s="1"/>
      <c r="SVC4" s="1"/>
      <c r="SVD4" s="1"/>
      <c r="SVE4" s="1"/>
      <c r="SVF4" s="1"/>
      <c r="SVG4" s="1"/>
      <c r="SVH4" s="1"/>
      <c r="SVI4" s="1"/>
      <c r="SVJ4" s="1"/>
      <c r="SVK4" s="1"/>
      <c r="SVL4" s="1"/>
      <c r="SVM4" s="1"/>
      <c r="SVN4" s="1"/>
      <c r="SVO4" s="1"/>
      <c r="SVP4" s="1"/>
      <c r="SVQ4" s="1"/>
      <c r="SVR4" s="1"/>
      <c r="SVS4" s="1"/>
      <c r="SVT4" s="1"/>
      <c r="SVU4" s="1"/>
      <c r="SVV4" s="1"/>
      <c r="SVW4" s="1"/>
      <c r="SVX4" s="1"/>
      <c r="SVY4" s="1"/>
      <c r="SVZ4" s="1"/>
      <c r="SWA4" s="1"/>
      <c r="SWB4" s="1"/>
      <c r="SWC4" s="1"/>
      <c r="SWD4" s="1"/>
      <c r="SWE4" s="1"/>
      <c r="SWF4" s="1"/>
      <c r="SWG4" s="1"/>
      <c r="SWH4" s="1"/>
      <c r="SWI4" s="1"/>
      <c r="SWJ4" s="1"/>
      <c r="SWK4" s="1"/>
      <c r="SWL4" s="1"/>
      <c r="SWM4" s="1"/>
      <c r="SWN4" s="1"/>
      <c r="SWO4" s="1"/>
      <c r="SWP4" s="1"/>
      <c r="SWQ4" s="1"/>
      <c r="SWR4" s="1"/>
      <c r="SWS4" s="1"/>
      <c r="SWT4" s="1"/>
      <c r="SWU4" s="1"/>
      <c r="SWV4" s="1"/>
      <c r="SWW4" s="1"/>
      <c r="SWX4" s="1"/>
      <c r="SWY4" s="1"/>
      <c r="SWZ4" s="1"/>
      <c r="SXA4" s="1"/>
      <c r="SXB4" s="1"/>
      <c r="SXC4" s="1"/>
      <c r="SXD4" s="1"/>
      <c r="SXE4" s="1"/>
      <c r="SXF4" s="1"/>
      <c r="SXG4" s="1"/>
      <c r="SXH4" s="1"/>
      <c r="SXI4" s="1"/>
      <c r="SXJ4" s="1"/>
      <c r="SXK4" s="1"/>
      <c r="SXL4" s="1"/>
      <c r="SXM4" s="1"/>
      <c r="SXN4" s="1"/>
      <c r="SXO4" s="1"/>
      <c r="SXP4" s="1"/>
      <c r="SXQ4" s="1"/>
      <c r="SXR4" s="1"/>
      <c r="SXS4" s="1"/>
      <c r="SXT4" s="1"/>
      <c r="SXU4" s="1"/>
      <c r="SXV4" s="1"/>
      <c r="SXW4" s="1"/>
      <c r="SXX4" s="1"/>
      <c r="SXY4" s="1"/>
      <c r="SXZ4" s="1"/>
      <c r="SYA4" s="1"/>
      <c r="SYB4" s="1"/>
      <c r="SYC4" s="1"/>
      <c r="SYD4" s="1"/>
      <c r="SYE4" s="1"/>
      <c r="SYF4" s="1"/>
      <c r="SYG4" s="1"/>
      <c r="SYH4" s="1"/>
      <c r="SYI4" s="1"/>
      <c r="SYJ4" s="1"/>
      <c r="SYK4" s="1"/>
      <c r="SYL4" s="1"/>
      <c r="SYM4" s="1"/>
      <c r="SYN4" s="1"/>
      <c r="SYO4" s="1"/>
      <c r="SYP4" s="1"/>
      <c r="SYQ4" s="1"/>
      <c r="SYR4" s="1"/>
      <c r="SYS4" s="1"/>
      <c r="SYT4" s="1"/>
      <c r="SYU4" s="1"/>
      <c r="SYV4" s="1"/>
      <c r="SYW4" s="1"/>
      <c r="SYX4" s="1"/>
      <c r="SYY4" s="1"/>
      <c r="SYZ4" s="1"/>
      <c r="SZA4" s="1"/>
      <c r="SZB4" s="1"/>
      <c r="SZC4" s="1"/>
      <c r="SZD4" s="1"/>
      <c r="SZE4" s="1"/>
      <c r="SZF4" s="1"/>
      <c r="SZG4" s="1"/>
      <c r="SZH4" s="1"/>
      <c r="SZI4" s="1"/>
      <c r="SZJ4" s="1"/>
      <c r="SZK4" s="1"/>
      <c r="SZL4" s="1"/>
      <c r="SZM4" s="1"/>
      <c r="SZN4" s="1"/>
      <c r="SZO4" s="1"/>
      <c r="SZP4" s="1"/>
      <c r="SZQ4" s="1"/>
      <c r="SZR4" s="1"/>
      <c r="SZS4" s="1"/>
      <c r="SZT4" s="1"/>
      <c r="SZU4" s="1"/>
      <c r="SZV4" s="1"/>
      <c r="SZW4" s="1"/>
      <c r="SZX4" s="1"/>
      <c r="SZY4" s="1"/>
      <c r="SZZ4" s="1"/>
      <c r="TAA4" s="1"/>
      <c r="TAB4" s="1"/>
      <c r="TAC4" s="1"/>
      <c r="TAD4" s="1"/>
      <c r="TAE4" s="1"/>
      <c r="TAF4" s="1"/>
      <c r="TAG4" s="1"/>
      <c r="TAH4" s="1"/>
      <c r="TAI4" s="1"/>
      <c r="TAJ4" s="1"/>
      <c r="TAK4" s="1"/>
      <c r="TAL4" s="1"/>
      <c r="TAM4" s="1"/>
      <c r="TAN4" s="1"/>
      <c r="TAO4" s="1"/>
      <c r="TAP4" s="1"/>
      <c r="TAQ4" s="1"/>
      <c r="TAR4" s="1"/>
      <c r="TAS4" s="1"/>
      <c r="TAT4" s="1"/>
      <c r="TAU4" s="1"/>
      <c r="TAV4" s="1"/>
      <c r="TAW4" s="1"/>
      <c r="TAX4" s="1"/>
      <c r="TAY4" s="1"/>
      <c r="TAZ4" s="1"/>
      <c r="TBA4" s="1"/>
      <c r="TBB4" s="1"/>
      <c r="TBC4" s="1"/>
      <c r="TBD4" s="1"/>
      <c r="TBE4" s="1"/>
      <c r="TBF4" s="1"/>
      <c r="TBG4" s="1"/>
      <c r="TBH4" s="1"/>
      <c r="TBI4" s="1"/>
      <c r="TBJ4" s="1"/>
      <c r="TBK4" s="1"/>
      <c r="TBL4" s="1"/>
      <c r="TBM4" s="1"/>
      <c r="TBN4" s="1"/>
      <c r="TBO4" s="1"/>
      <c r="TBP4" s="1"/>
      <c r="TBQ4" s="1"/>
      <c r="TBR4" s="1"/>
      <c r="TBS4" s="1"/>
      <c r="TBT4" s="1"/>
      <c r="TBU4" s="1"/>
      <c r="TBV4" s="1"/>
      <c r="TBW4" s="1"/>
      <c r="TBX4" s="1"/>
      <c r="TBY4" s="1"/>
      <c r="TBZ4" s="1"/>
      <c r="TCA4" s="1"/>
      <c r="TCB4" s="1"/>
      <c r="TCC4" s="1"/>
      <c r="TCD4" s="1"/>
      <c r="TCE4" s="1"/>
      <c r="TCF4" s="1"/>
      <c r="TCG4" s="1"/>
      <c r="TCH4" s="1"/>
      <c r="TCI4" s="1"/>
      <c r="TCJ4" s="1"/>
      <c r="TCK4" s="1"/>
      <c r="TCL4" s="1"/>
      <c r="TCM4" s="1"/>
      <c r="TCN4" s="1"/>
      <c r="TCO4" s="1"/>
      <c r="TCP4" s="1"/>
      <c r="TCQ4" s="1"/>
      <c r="TCR4" s="1"/>
      <c r="TCS4" s="1"/>
      <c r="TCT4" s="1"/>
      <c r="TCU4" s="1"/>
      <c r="TCV4" s="1"/>
      <c r="TCW4" s="1"/>
      <c r="TCX4" s="1"/>
      <c r="TCY4" s="1"/>
      <c r="TCZ4" s="1"/>
      <c r="TDA4" s="1"/>
      <c r="TDB4" s="1"/>
      <c r="TDC4" s="1"/>
      <c r="TDD4" s="1"/>
      <c r="TDE4" s="1"/>
      <c r="TDF4" s="1"/>
      <c r="TDG4" s="1"/>
      <c r="TDH4" s="1"/>
      <c r="TDI4" s="1"/>
      <c r="TDJ4" s="1"/>
      <c r="TDK4" s="1"/>
      <c r="TDL4" s="1"/>
      <c r="TDM4" s="1"/>
      <c r="TDN4" s="1"/>
      <c r="TDO4" s="1"/>
      <c r="TDP4" s="1"/>
      <c r="TDQ4" s="1"/>
      <c r="TDR4" s="1"/>
      <c r="TDS4" s="1"/>
      <c r="TDT4" s="1"/>
      <c r="TDU4" s="1"/>
      <c r="TDV4" s="1"/>
      <c r="TDW4" s="1"/>
      <c r="TDX4" s="1"/>
      <c r="TDY4" s="1"/>
      <c r="TDZ4" s="1"/>
      <c r="TEA4" s="1"/>
      <c r="TEB4" s="1"/>
      <c r="TEC4" s="1"/>
      <c r="TED4" s="1"/>
      <c r="TEE4" s="1"/>
      <c r="TEF4" s="1"/>
      <c r="TEG4" s="1"/>
      <c r="TEH4" s="1"/>
      <c r="TEI4" s="1"/>
      <c r="TEJ4" s="1"/>
      <c r="TEK4" s="1"/>
      <c r="TEL4" s="1"/>
      <c r="TEM4" s="1"/>
      <c r="TEN4" s="1"/>
      <c r="TEO4" s="1"/>
      <c r="TEP4" s="1"/>
      <c r="TEQ4" s="1"/>
      <c r="TER4" s="1"/>
      <c r="TES4" s="1"/>
      <c r="TET4" s="1"/>
      <c r="TEU4" s="1"/>
      <c r="TEV4" s="1"/>
      <c r="TEW4" s="1"/>
      <c r="TEX4" s="1"/>
      <c r="TEY4" s="1"/>
      <c r="TEZ4" s="1"/>
      <c r="TFA4" s="1"/>
      <c r="TFB4" s="1"/>
      <c r="TFC4" s="1"/>
      <c r="TFD4" s="1"/>
      <c r="TFE4" s="1"/>
      <c r="TFF4" s="1"/>
      <c r="TFG4" s="1"/>
      <c r="TFH4" s="1"/>
      <c r="TFI4" s="1"/>
      <c r="TFJ4" s="1"/>
      <c r="TFK4" s="1"/>
      <c r="TFL4" s="1"/>
      <c r="TFM4" s="1"/>
      <c r="TFN4" s="1"/>
      <c r="TFO4" s="1"/>
      <c r="TFP4" s="1"/>
      <c r="TFQ4" s="1"/>
      <c r="TFR4" s="1"/>
      <c r="TFS4" s="1"/>
      <c r="TFT4" s="1"/>
      <c r="TFU4" s="1"/>
      <c r="TFV4" s="1"/>
      <c r="TFW4" s="1"/>
      <c r="TFX4" s="1"/>
      <c r="TFY4" s="1"/>
      <c r="TFZ4" s="1"/>
      <c r="TGA4" s="1"/>
      <c r="TGB4" s="1"/>
      <c r="TGC4" s="1"/>
      <c r="TGD4" s="1"/>
      <c r="TGE4" s="1"/>
      <c r="TGF4" s="1"/>
      <c r="TGG4" s="1"/>
      <c r="TGH4" s="1"/>
      <c r="TGI4" s="1"/>
      <c r="TGJ4" s="1"/>
      <c r="TGK4" s="1"/>
      <c r="TGL4" s="1"/>
      <c r="TGM4" s="1"/>
      <c r="TGN4" s="1"/>
      <c r="TGO4" s="1"/>
      <c r="TGP4" s="1"/>
      <c r="TGQ4" s="1"/>
      <c r="TGR4" s="1"/>
      <c r="TGS4" s="1"/>
      <c r="TGT4" s="1"/>
      <c r="TGU4" s="1"/>
      <c r="TGV4" s="1"/>
      <c r="TGW4" s="1"/>
      <c r="TGX4" s="1"/>
      <c r="TGY4" s="1"/>
      <c r="TGZ4" s="1"/>
      <c r="THA4" s="1"/>
      <c r="THB4" s="1"/>
      <c r="THC4" s="1"/>
      <c r="THD4" s="1"/>
      <c r="THE4" s="1"/>
      <c r="THF4" s="1"/>
      <c r="THG4" s="1"/>
      <c r="THH4" s="1"/>
      <c r="THI4" s="1"/>
      <c r="THJ4" s="1"/>
      <c r="THK4" s="1"/>
      <c r="THL4" s="1"/>
      <c r="THM4" s="1"/>
      <c r="THN4" s="1"/>
      <c r="THO4" s="1"/>
      <c r="THP4" s="1"/>
      <c r="THQ4" s="1"/>
      <c r="THR4" s="1"/>
      <c r="THS4" s="1"/>
      <c r="THT4" s="1"/>
      <c r="THU4" s="1"/>
      <c r="THV4" s="1"/>
      <c r="THW4" s="1"/>
      <c r="THX4" s="1"/>
      <c r="THY4" s="1"/>
      <c r="THZ4" s="1"/>
      <c r="TIA4" s="1"/>
      <c r="TIB4" s="1"/>
      <c r="TIC4" s="1"/>
      <c r="TID4" s="1"/>
      <c r="TIE4" s="1"/>
      <c r="TIF4" s="1"/>
      <c r="TIG4" s="1"/>
      <c r="TIH4" s="1"/>
      <c r="TII4" s="1"/>
      <c r="TIJ4" s="1"/>
      <c r="TIK4" s="1"/>
      <c r="TIL4" s="1"/>
      <c r="TIM4" s="1"/>
      <c r="TIN4" s="1"/>
      <c r="TIO4" s="1"/>
      <c r="TIP4" s="1"/>
      <c r="TIQ4" s="1"/>
      <c r="TIR4" s="1"/>
      <c r="TIS4" s="1"/>
      <c r="TIT4" s="1"/>
      <c r="TIU4" s="1"/>
      <c r="TIV4" s="1"/>
      <c r="TIW4" s="1"/>
      <c r="TIX4" s="1"/>
      <c r="TIY4" s="1"/>
      <c r="TIZ4" s="1"/>
      <c r="TJA4" s="1"/>
      <c r="TJB4" s="1"/>
      <c r="TJC4" s="1"/>
      <c r="TJD4" s="1"/>
      <c r="TJE4" s="1"/>
      <c r="TJF4" s="1"/>
      <c r="TJG4" s="1"/>
      <c r="TJH4" s="1"/>
      <c r="TJI4" s="1"/>
      <c r="TJJ4" s="1"/>
      <c r="TJK4" s="1"/>
      <c r="TJL4" s="1"/>
      <c r="TJM4" s="1"/>
      <c r="TJN4" s="1"/>
      <c r="TJO4" s="1"/>
      <c r="TJP4" s="1"/>
      <c r="TJQ4" s="1"/>
      <c r="TJR4" s="1"/>
      <c r="TJS4" s="1"/>
      <c r="TJT4" s="1"/>
      <c r="TJU4" s="1"/>
      <c r="TJV4" s="1"/>
      <c r="TJW4" s="1"/>
      <c r="TJX4" s="1"/>
      <c r="TJY4" s="1"/>
      <c r="TJZ4" s="1"/>
      <c r="TKA4" s="1"/>
      <c r="TKB4" s="1"/>
      <c r="TKC4" s="1"/>
      <c r="TKD4" s="1"/>
      <c r="TKE4" s="1"/>
      <c r="TKF4" s="1"/>
      <c r="TKG4" s="1"/>
      <c r="TKH4" s="1"/>
      <c r="TKI4" s="1"/>
      <c r="TKJ4" s="1"/>
      <c r="TKK4" s="1"/>
      <c r="TKL4" s="1"/>
      <c r="TKM4" s="1"/>
      <c r="TKN4" s="1"/>
      <c r="TKO4" s="1"/>
      <c r="TKP4" s="1"/>
      <c r="TKQ4" s="1"/>
      <c r="TKR4" s="1"/>
      <c r="TKS4" s="1"/>
      <c r="TKT4" s="1"/>
      <c r="TKU4" s="1"/>
      <c r="TKV4" s="1"/>
      <c r="TKW4" s="1"/>
      <c r="TKX4" s="1"/>
      <c r="TKY4" s="1"/>
      <c r="TKZ4" s="1"/>
      <c r="TLA4" s="1"/>
      <c r="TLB4" s="1"/>
      <c r="TLC4" s="1"/>
      <c r="TLD4" s="1"/>
      <c r="TLE4" s="1"/>
      <c r="TLF4" s="1"/>
      <c r="TLG4" s="1"/>
      <c r="TLH4" s="1"/>
      <c r="TLI4" s="1"/>
      <c r="TLJ4" s="1"/>
      <c r="TLK4" s="1"/>
      <c r="TLL4" s="1"/>
      <c r="TLM4" s="1"/>
      <c r="TLN4" s="1"/>
      <c r="TLO4" s="1"/>
      <c r="TLP4" s="1"/>
      <c r="TLQ4" s="1"/>
      <c r="TLR4" s="1"/>
      <c r="TLS4" s="1"/>
      <c r="TLT4" s="1"/>
      <c r="TLU4" s="1"/>
      <c r="TLV4" s="1"/>
      <c r="TLW4" s="1"/>
      <c r="TLX4" s="1"/>
      <c r="TLY4" s="1"/>
      <c r="TLZ4" s="1"/>
      <c r="TMA4" s="1"/>
      <c r="TMB4" s="1"/>
      <c r="TMC4" s="1"/>
      <c r="TMD4" s="1"/>
      <c r="TME4" s="1"/>
      <c r="TMF4" s="1"/>
      <c r="TMG4" s="1"/>
      <c r="TMH4" s="1"/>
      <c r="TMI4" s="1"/>
      <c r="TMJ4" s="1"/>
      <c r="TMK4" s="1"/>
      <c r="TML4" s="1"/>
      <c r="TMM4" s="1"/>
      <c r="TMN4" s="1"/>
      <c r="TMO4" s="1"/>
      <c r="TMP4" s="1"/>
      <c r="TMQ4" s="1"/>
      <c r="TMR4" s="1"/>
      <c r="TMS4" s="1"/>
      <c r="TMT4" s="1"/>
      <c r="TMU4" s="1"/>
      <c r="TMV4" s="1"/>
      <c r="TMW4" s="1"/>
      <c r="TMX4" s="1"/>
      <c r="TMY4" s="1"/>
      <c r="TMZ4" s="1"/>
      <c r="TNA4" s="1"/>
      <c r="TNB4" s="1"/>
      <c r="TNC4" s="1"/>
      <c r="TND4" s="1"/>
      <c r="TNE4" s="1"/>
      <c r="TNF4" s="1"/>
      <c r="TNG4" s="1"/>
      <c r="TNH4" s="1"/>
      <c r="TNI4" s="1"/>
      <c r="TNJ4" s="1"/>
      <c r="TNK4" s="1"/>
      <c r="TNL4" s="1"/>
      <c r="TNM4" s="1"/>
      <c r="TNN4" s="1"/>
      <c r="TNO4" s="1"/>
      <c r="TNP4" s="1"/>
      <c r="TNQ4" s="1"/>
      <c r="TNR4" s="1"/>
      <c r="TNS4" s="1"/>
      <c r="TNT4" s="1"/>
      <c r="TNU4" s="1"/>
      <c r="TNV4" s="1"/>
      <c r="TNW4" s="1"/>
      <c r="TNX4" s="1"/>
      <c r="TNY4" s="1"/>
      <c r="TNZ4" s="1"/>
      <c r="TOA4" s="1"/>
      <c r="TOB4" s="1"/>
      <c r="TOC4" s="1"/>
      <c r="TOD4" s="1"/>
      <c r="TOE4" s="1"/>
      <c r="TOF4" s="1"/>
      <c r="TOG4" s="1"/>
      <c r="TOH4" s="1"/>
      <c r="TOI4" s="1"/>
      <c r="TOJ4" s="1"/>
      <c r="TOK4" s="1"/>
      <c r="TOL4" s="1"/>
      <c r="TOM4" s="1"/>
      <c r="TON4" s="1"/>
      <c r="TOO4" s="1"/>
      <c r="TOP4" s="1"/>
      <c r="TOQ4" s="1"/>
      <c r="TOR4" s="1"/>
      <c r="TOS4" s="1"/>
      <c r="TOT4" s="1"/>
      <c r="TOU4" s="1"/>
      <c r="TOV4" s="1"/>
      <c r="TOW4" s="1"/>
      <c r="TOX4" s="1"/>
      <c r="TOY4" s="1"/>
      <c r="TOZ4" s="1"/>
      <c r="TPA4" s="1"/>
      <c r="TPB4" s="1"/>
      <c r="TPC4" s="1"/>
      <c r="TPD4" s="1"/>
      <c r="TPE4" s="1"/>
      <c r="TPF4" s="1"/>
      <c r="TPG4" s="1"/>
      <c r="TPH4" s="1"/>
      <c r="TPI4" s="1"/>
      <c r="TPJ4" s="1"/>
      <c r="TPK4" s="1"/>
      <c r="TPL4" s="1"/>
      <c r="TPM4" s="1"/>
      <c r="TPN4" s="1"/>
      <c r="TPO4" s="1"/>
      <c r="TPP4" s="1"/>
      <c r="TPQ4" s="1"/>
      <c r="TPR4" s="1"/>
      <c r="TPS4" s="1"/>
      <c r="TPT4" s="1"/>
      <c r="TPU4" s="1"/>
      <c r="TPV4" s="1"/>
      <c r="TPW4" s="1"/>
      <c r="TPX4" s="1"/>
      <c r="TPY4" s="1"/>
      <c r="TPZ4" s="1"/>
      <c r="TQA4" s="1"/>
      <c r="TQB4" s="1"/>
      <c r="TQC4" s="1"/>
      <c r="TQD4" s="1"/>
      <c r="TQE4" s="1"/>
      <c r="TQF4" s="1"/>
      <c r="TQG4" s="1"/>
      <c r="TQH4" s="1"/>
      <c r="TQI4" s="1"/>
      <c r="TQJ4" s="1"/>
      <c r="TQK4" s="1"/>
      <c r="TQL4" s="1"/>
      <c r="TQM4" s="1"/>
      <c r="TQN4" s="1"/>
      <c r="TQO4" s="1"/>
      <c r="TQP4" s="1"/>
      <c r="TQQ4" s="1"/>
      <c r="TQR4" s="1"/>
      <c r="TQS4" s="1"/>
      <c r="TQT4" s="1"/>
      <c r="TQU4" s="1"/>
      <c r="TQV4" s="1"/>
      <c r="TQW4" s="1"/>
      <c r="TQX4" s="1"/>
      <c r="TQY4" s="1"/>
      <c r="TQZ4" s="1"/>
      <c r="TRA4" s="1"/>
      <c r="TRB4" s="1"/>
      <c r="TRC4" s="1"/>
      <c r="TRD4" s="1"/>
      <c r="TRE4" s="1"/>
      <c r="TRF4" s="1"/>
      <c r="TRG4" s="1"/>
      <c r="TRH4" s="1"/>
      <c r="TRI4" s="1"/>
      <c r="TRJ4" s="1"/>
      <c r="TRK4" s="1"/>
      <c r="TRL4" s="1"/>
      <c r="TRM4" s="1"/>
      <c r="TRN4" s="1"/>
      <c r="TRO4" s="1"/>
      <c r="TRP4" s="1"/>
      <c r="TRQ4" s="1"/>
      <c r="TRR4" s="1"/>
      <c r="TRS4" s="1"/>
      <c r="TRT4" s="1"/>
      <c r="TRU4" s="1"/>
      <c r="TRV4" s="1"/>
      <c r="TRW4" s="1"/>
      <c r="TRX4" s="1"/>
      <c r="TRY4" s="1"/>
      <c r="TRZ4" s="1"/>
      <c r="TSA4" s="1"/>
      <c r="TSB4" s="1"/>
      <c r="TSC4" s="1"/>
      <c r="TSD4" s="1"/>
      <c r="TSE4" s="1"/>
      <c r="TSF4" s="1"/>
      <c r="TSG4" s="1"/>
      <c r="TSH4" s="1"/>
      <c r="TSI4" s="1"/>
      <c r="TSJ4" s="1"/>
      <c r="TSK4" s="1"/>
      <c r="TSL4" s="1"/>
      <c r="TSM4" s="1"/>
      <c r="TSN4" s="1"/>
      <c r="TSO4" s="1"/>
      <c r="TSP4" s="1"/>
      <c r="TSQ4" s="1"/>
      <c r="TSR4" s="1"/>
      <c r="TSS4" s="1"/>
      <c r="TST4" s="1"/>
      <c r="TSU4" s="1"/>
      <c r="TSV4" s="1"/>
      <c r="TSW4" s="1"/>
      <c r="TSX4" s="1"/>
      <c r="TSY4" s="1"/>
      <c r="TSZ4" s="1"/>
      <c r="TTA4" s="1"/>
      <c r="TTB4" s="1"/>
      <c r="TTC4" s="1"/>
      <c r="TTD4" s="1"/>
      <c r="TTE4" s="1"/>
      <c r="TTF4" s="1"/>
      <c r="TTG4" s="1"/>
      <c r="TTH4" s="1"/>
      <c r="TTI4" s="1"/>
      <c r="TTJ4" s="1"/>
      <c r="TTK4" s="1"/>
      <c r="TTL4" s="1"/>
      <c r="TTM4" s="1"/>
      <c r="TTN4" s="1"/>
      <c r="TTO4" s="1"/>
      <c r="TTP4" s="1"/>
      <c r="TTQ4" s="1"/>
      <c r="TTR4" s="1"/>
      <c r="TTS4" s="1"/>
      <c r="TTT4" s="1"/>
      <c r="TTU4" s="1"/>
      <c r="TTV4" s="1"/>
      <c r="TTW4" s="1"/>
      <c r="TTX4" s="1"/>
      <c r="TTY4" s="1"/>
      <c r="TTZ4" s="1"/>
      <c r="TUA4" s="1"/>
      <c r="TUB4" s="1"/>
      <c r="TUC4" s="1"/>
      <c r="TUD4" s="1"/>
      <c r="TUE4" s="1"/>
      <c r="TUF4" s="1"/>
      <c r="TUG4" s="1"/>
      <c r="TUH4" s="1"/>
      <c r="TUI4" s="1"/>
      <c r="TUJ4" s="1"/>
      <c r="TUK4" s="1"/>
      <c r="TUL4" s="1"/>
      <c r="TUM4" s="1"/>
      <c r="TUN4" s="1"/>
      <c r="TUO4" s="1"/>
      <c r="TUP4" s="1"/>
      <c r="TUQ4" s="1"/>
      <c r="TUR4" s="1"/>
      <c r="TUS4" s="1"/>
      <c r="TUT4" s="1"/>
      <c r="TUU4" s="1"/>
      <c r="TUV4" s="1"/>
      <c r="TUW4" s="1"/>
      <c r="TUX4" s="1"/>
      <c r="TUY4" s="1"/>
      <c r="TUZ4" s="1"/>
      <c r="TVA4" s="1"/>
      <c r="TVB4" s="1"/>
      <c r="TVC4" s="1"/>
      <c r="TVD4" s="1"/>
      <c r="TVE4" s="1"/>
      <c r="TVF4" s="1"/>
      <c r="TVG4" s="1"/>
      <c r="TVH4" s="1"/>
      <c r="TVI4" s="1"/>
      <c r="TVJ4" s="1"/>
      <c r="TVK4" s="1"/>
      <c r="TVL4" s="1"/>
      <c r="TVM4" s="1"/>
      <c r="TVN4" s="1"/>
      <c r="TVO4" s="1"/>
      <c r="TVP4" s="1"/>
      <c r="TVQ4" s="1"/>
      <c r="TVR4" s="1"/>
      <c r="TVS4" s="1"/>
      <c r="TVT4" s="1"/>
      <c r="TVU4" s="1"/>
      <c r="TVV4" s="1"/>
      <c r="TVW4" s="1"/>
      <c r="TVX4" s="1"/>
      <c r="TVY4" s="1"/>
      <c r="TVZ4" s="1"/>
      <c r="TWA4" s="1"/>
      <c r="TWB4" s="1"/>
      <c r="TWC4" s="1"/>
      <c r="TWD4" s="1"/>
      <c r="TWE4" s="1"/>
      <c r="TWF4" s="1"/>
      <c r="TWG4" s="1"/>
      <c r="TWH4" s="1"/>
      <c r="TWI4" s="1"/>
      <c r="TWJ4" s="1"/>
      <c r="TWK4" s="1"/>
      <c r="TWL4" s="1"/>
      <c r="TWM4" s="1"/>
      <c r="TWN4" s="1"/>
      <c r="TWO4" s="1"/>
      <c r="TWP4" s="1"/>
      <c r="TWQ4" s="1"/>
      <c r="TWR4" s="1"/>
      <c r="TWS4" s="1"/>
      <c r="TWT4" s="1"/>
      <c r="TWU4" s="1"/>
      <c r="TWV4" s="1"/>
      <c r="TWW4" s="1"/>
      <c r="TWX4" s="1"/>
      <c r="TWY4" s="1"/>
      <c r="TWZ4" s="1"/>
      <c r="TXA4" s="1"/>
      <c r="TXB4" s="1"/>
      <c r="TXC4" s="1"/>
      <c r="TXD4" s="1"/>
      <c r="TXE4" s="1"/>
      <c r="TXF4" s="1"/>
      <c r="TXG4" s="1"/>
      <c r="TXH4" s="1"/>
      <c r="TXI4" s="1"/>
      <c r="TXJ4" s="1"/>
      <c r="TXK4" s="1"/>
      <c r="TXL4" s="1"/>
      <c r="TXM4" s="1"/>
      <c r="TXN4" s="1"/>
      <c r="TXO4" s="1"/>
      <c r="TXP4" s="1"/>
      <c r="TXQ4" s="1"/>
      <c r="TXR4" s="1"/>
      <c r="TXS4" s="1"/>
      <c r="TXT4" s="1"/>
      <c r="TXU4" s="1"/>
      <c r="TXV4" s="1"/>
      <c r="TXW4" s="1"/>
      <c r="TXX4" s="1"/>
      <c r="TXY4" s="1"/>
      <c r="TXZ4" s="1"/>
      <c r="TYA4" s="1"/>
      <c r="TYB4" s="1"/>
      <c r="TYC4" s="1"/>
      <c r="TYD4" s="1"/>
      <c r="TYE4" s="1"/>
      <c r="TYF4" s="1"/>
      <c r="TYG4" s="1"/>
      <c r="TYH4" s="1"/>
      <c r="TYI4" s="1"/>
      <c r="TYJ4" s="1"/>
      <c r="TYK4" s="1"/>
      <c r="TYL4" s="1"/>
      <c r="TYM4" s="1"/>
      <c r="TYN4" s="1"/>
      <c r="TYO4" s="1"/>
      <c r="TYP4" s="1"/>
      <c r="TYQ4" s="1"/>
      <c r="TYR4" s="1"/>
      <c r="TYS4" s="1"/>
      <c r="TYT4" s="1"/>
      <c r="TYU4" s="1"/>
      <c r="TYV4" s="1"/>
      <c r="TYW4" s="1"/>
      <c r="TYX4" s="1"/>
      <c r="TYY4" s="1"/>
      <c r="TYZ4" s="1"/>
      <c r="TZA4" s="1"/>
      <c r="TZB4" s="1"/>
      <c r="TZC4" s="1"/>
      <c r="TZD4" s="1"/>
      <c r="TZE4" s="1"/>
      <c r="TZF4" s="1"/>
      <c r="TZG4" s="1"/>
      <c r="TZH4" s="1"/>
      <c r="TZI4" s="1"/>
      <c r="TZJ4" s="1"/>
      <c r="TZK4" s="1"/>
      <c r="TZL4" s="1"/>
      <c r="TZM4" s="1"/>
      <c r="TZN4" s="1"/>
      <c r="TZO4" s="1"/>
      <c r="TZP4" s="1"/>
      <c r="TZQ4" s="1"/>
      <c r="TZR4" s="1"/>
      <c r="TZS4" s="1"/>
      <c r="TZT4" s="1"/>
      <c r="TZU4" s="1"/>
      <c r="TZV4" s="1"/>
      <c r="TZW4" s="1"/>
      <c r="TZX4" s="1"/>
      <c r="TZY4" s="1"/>
      <c r="TZZ4" s="1"/>
      <c r="UAA4" s="1"/>
      <c r="UAB4" s="1"/>
      <c r="UAC4" s="1"/>
      <c r="UAD4" s="1"/>
      <c r="UAE4" s="1"/>
      <c r="UAF4" s="1"/>
      <c r="UAG4" s="1"/>
      <c r="UAH4" s="1"/>
      <c r="UAI4" s="1"/>
      <c r="UAJ4" s="1"/>
      <c r="UAK4" s="1"/>
      <c r="UAL4" s="1"/>
      <c r="UAM4" s="1"/>
      <c r="UAN4" s="1"/>
      <c r="UAO4" s="1"/>
      <c r="UAP4" s="1"/>
      <c r="UAQ4" s="1"/>
      <c r="UAR4" s="1"/>
      <c r="UAS4" s="1"/>
      <c r="UAT4" s="1"/>
      <c r="UAU4" s="1"/>
      <c r="UAV4" s="1"/>
      <c r="UAW4" s="1"/>
      <c r="UAX4" s="1"/>
      <c r="UAY4" s="1"/>
      <c r="UAZ4" s="1"/>
      <c r="UBA4" s="1"/>
      <c r="UBB4" s="1"/>
      <c r="UBC4" s="1"/>
      <c r="UBD4" s="1"/>
      <c r="UBE4" s="1"/>
      <c r="UBF4" s="1"/>
      <c r="UBG4" s="1"/>
      <c r="UBH4" s="1"/>
      <c r="UBI4" s="1"/>
      <c r="UBJ4" s="1"/>
      <c r="UBK4" s="1"/>
      <c r="UBL4" s="1"/>
      <c r="UBM4" s="1"/>
      <c r="UBN4" s="1"/>
      <c r="UBO4" s="1"/>
      <c r="UBP4" s="1"/>
      <c r="UBQ4" s="1"/>
      <c r="UBR4" s="1"/>
      <c r="UBS4" s="1"/>
      <c r="UBT4" s="1"/>
      <c r="UBU4" s="1"/>
      <c r="UBV4" s="1"/>
      <c r="UBW4" s="1"/>
      <c r="UBX4" s="1"/>
      <c r="UBY4" s="1"/>
      <c r="UBZ4" s="1"/>
      <c r="UCA4" s="1"/>
      <c r="UCB4" s="1"/>
      <c r="UCC4" s="1"/>
      <c r="UCD4" s="1"/>
      <c r="UCE4" s="1"/>
      <c r="UCF4" s="1"/>
      <c r="UCG4" s="1"/>
      <c r="UCH4" s="1"/>
      <c r="UCI4" s="1"/>
      <c r="UCJ4" s="1"/>
      <c r="UCK4" s="1"/>
      <c r="UCL4" s="1"/>
      <c r="UCM4" s="1"/>
      <c r="UCN4" s="1"/>
      <c r="UCO4" s="1"/>
      <c r="UCP4" s="1"/>
      <c r="UCQ4" s="1"/>
      <c r="UCR4" s="1"/>
      <c r="UCS4" s="1"/>
      <c r="UCT4" s="1"/>
      <c r="UCU4" s="1"/>
      <c r="UCV4" s="1"/>
      <c r="UCW4" s="1"/>
      <c r="UCX4" s="1"/>
      <c r="UCY4" s="1"/>
      <c r="UCZ4" s="1"/>
      <c r="UDA4" s="1"/>
      <c r="UDB4" s="1"/>
      <c r="UDC4" s="1"/>
      <c r="UDD4" s="1"/>
      <c r="UDE4" s="1"/>
      <c r="UDF4" s="1"/>
      <c r="UDG4" s="1"/>
      <c r="UDH4" s="1"/>
      <c r="UDI4" s="1"/>
      <c r="UDJ4" s="1"/>
      <c r="UDK4" s="1"/>
      <c r="UDL4" s="1"/>
      <c r="UDM4" s="1"/>
      <c r="UDN4" s="1"/>
      <c r="UDO4" s="1"/>
      <c r="UDP4" s="1"/>
      <c r="UDQ4" s="1"/>
      <c r="UDR4" s="1"/>
      <c r="UDS4" s="1"/>
      <c r="UDT4" s="1"/>
      <c r="UDU4" s="1"/>
      <c r="UDV4" s="1"/>
      <c r="UDW4" s="1"/>
      <c r="UDX4" s="1"/>
      <c r="UDY4" s="1"/>
      <c r="UDZ4" s="1"/>
      <c r="UEA4" s="1"/>
      <c r="UEB4" s="1"/>
      <c r="UEC4" s="1"/>
      <c r="UED4" s="1"/>
      <c r="UEE4" s="1"/>
      <c r="UEF4" s="1"/>
      <c r="UEG4" s="1"/>
      <c r="UEH4" s="1"/>
      <c r="UEI4" s="1"/>
      <c r="UEJ4" s="1"/>
      <c r="UEK4" s="1"/>
      <c r="UEL4" s="1"/>
      <c r="UEM4" s="1"/>
      <c r="UEN4" s="1"/>
      <c r="UEO4" s="1"/>
      <c r="UEP4" s="1"/>
      <c r="UEQ4" s="1"/>
      <c r="UER4" s="1"/>
      <c r="UES4" s="1"/>
      <c r="UET4" s="1"/>
      <c r="UEU4" s="1"/>
      <c r="UEV4" s="1"/>
      <c r="UEW4" s="1"/>
      <c r="UEX4" s="1"/>
      <c r="UEY4" s="1"/>
      <c r="UEZ4" s="1"/>
      <c r="UFA4" s="1"/>
      <c r="UFB4" s="1"/>
      <c r="UFC4" s="1"/>
      <c r="UFD4" s="1"/>
      <c r="UFE4" s="1"/>
      <c r="UFF4" s="1"/>
      <c r="UFG4" s="1"/>
      <c r="UFH4" s="1"/>
      <c r="UFI4" s="1"/>
      <c r="UFJ4" s="1"/>
      <c r="UFK4" s="1"/>
      <c r="UFL4" s="1"/>
      <c r="UFM4" s="1"/>
      <c r="UFN4" s="1"/>
      <c r="UFO4" s="1"/>
      <c r="UFP4" s="1"/>
      <c r="UFQ4" s="1"/>
      <c r="UFR4" s="1"/>
      <c r="UFS4" s="1"/>
      <c r="UFT4" s="1"/>
      <c r="UFU4" s="1"/>
      <c r="UFV4" s="1"/>
      <c r="UFW4" s="1"/>
      <c r="UFX4" s="1"/>
      <c r="UFY4" s="1"/>
      <c r="UFZ4" s="1"/>
      <c r="UGA4" s="1"/>
      <c r="UGB4" s="1"/>
      <c r="UGC4" s="1"/>
      <c r="UGD4" s="1"/>
      <c r="UGE4" s="1"/>
      <c r="UGF4" s="1"/>
      <c r="UGG4" s="1"/>
      <c r="UGH4" s="1"/>
      <c r="UGI4" s="1"/>
      <c r="UGJ4" s="1"/>
      <c r="UGK4" s="1"/>
      <c r="UGL4" s="1"/>
      <c r="UGM4" s="1"/>
      <c r="UGN4" s="1"/>
      <c r="UGO4" s="1"/>
      <c r="UGP4" s="1"/>
      <c r="UGQ4" s="1"/>
      <c r="UGR4" s="1"/>
      <c r="UGS4" s="1"/>
      <c r="UGT4" s="1"/>
      <c r="UGU4" s="1"/>
      <c r="UGV4" s="1"/>
      <c r="UGW4" s="1"/>
      <c r="UGX4" s="1"/>
      <c r="UGY4" s="1"/>
      <c r="UGZ4" s="1"/>
      <c r="UHA4" s="1"/>
      <c r="UHB4" s="1"/>
      <c r="UHC4" s="1"/>
      <c r="UHD4" s="1"/>
      <c r="UHE4" s="1"/>
      <c r="UHF4" s="1"/>
      <c r="UHG4" s="1"/>
      <c r="UHH4" s="1"/>
      <c r="UHI4" s="1"/>
      <c r="UHJ4" s="1"/>
      <c r="UHK4" s="1"/>
      <c r="UHL4" s="1"/>
      <c r="UHM4" s="1"/>
      <c r="UHN4" s="1"/>
      <c r="UHO4" s="1"/>
      <c r="UHP4" s="1"/>
      <c r="UHQ4" s="1"/>
      <c r="UHR4" s="1"/>
      <c r="UHS4" s="1"/>
      <c r="UHT4" s="1"/>
      <c r="UHU4" s="1"/>
      <c r="UHV4" s="1"/>
      <c r="UHW4" s="1"/>
      <c r="UHX4" s="1"/>
      <c r="UHY4" s="1"/>
      <c r="UHZ4" s="1"/>
      <c r="UIA4" s="1"/>
      <c r="UIB4" s="1"/>
      <c r="UIC4" s="1"/>
      <c r="UID4" s="1"/>
      <c r="UIE4" s="1"/>
      <c r="UIF4" s="1"/>
      <c r="UIG4" s="1"/>
      <c r="UIH4" s="1"/>
      <c r="UII4" s="1"/>
      <c r="UIJ4" s="1"/>
      <c r="UIK4" s="1"/>
      <c r="UIL4" s="1"/>
      <c r="UIM4" s="1"/>
      <c r="UIN4" s="1"/>
      <c r="UIO4" s="1"/>
      <c r="UIP4" s="1"/>
      <c r="UIQ4" s="1"/>
      <c r="UIR4" s="1"/>
      <c r="UIS4" s="1"/>
      <c r="UIT4" s="1"/>
      <c r="UIU4" s="1"/>
      <c r="UIV4" s="1"/>
      <c r="UIW4" s="1"/>
      <c r="UIX4" s="1"/>
      <c r="UIY4" s="1"/>
      <c r="UIZ4" s="1"/>
      <c r="UJA4" s="1"/>
      <c r="UJB4" s="1"/>
      <c r="UJC4" s="1"/>
      <c r="UJD4" s="1"/>
      <c r="UJE4" s="1"/>
      <c r="UJF4" s="1"/>
      <c r="UJG4" s="1"/>
      <c r="UJH4" s="1"/>
      <c r="UJI4" s="1"/>
      <c r="UJJ4" s="1"/>
      <c r="UJK4" s="1"/>
      <c r="UJL4" s="1"/>
      <c r="UJM4" s="1"/>
      <c r="UJN4" s="1"/>
      <c r="UJO4" s="1"/>
      <c r="UJP4" s="1"/>
      <c r="UJQ4" s="1"/>
      <c r="UJR4" s="1"/>
      <c r="UJS4" s="1"/>
      <c r="UJT4" s="1"/>
      <c r="UJU4" s="1"/>
      <c r="UJV4" s="1"/>
      <c r="UJW4" s="1"/>
      <c r="UJX4" s="1"/>
      <c r="UJY4" s="1"/>
      <c r="UJZ4" s="1"/>
      <c r="UKA4" s="1"/>
      <c r="UKB4" s="1"/>
      <c r="UKC4" s="1"/>
      <c r="UKD4" s="1"/>
      <c r="UKE4" s="1"/>
      <c r="UKF4" s="1"/>
      <c r="UKG4" s="1"/>
      <c r="UKH4" s="1"/>
      <c r="UKI4" s="1"/>
      <c r="UKJ4" s="1"/>
      <c r="UKK4" s="1"/>
      <c r="UKL4" s="1"/>
      <c r="UKM4" s="1"/>
      <c r="UKN4" s="1"/>
      <c r="UKO4" s="1"/>
      <c r="UKP4" s="1"/>
      <c r="UKQ4" s="1"/>
      <c r="UKR4" s="1"/>
      <c r="UKS4" s="1"/>
      <c r="UKT4" s="1"/>
      <c r="UKU4" s="1"/>
      <c r="UKV4" s="1"/>
      <c r="UKW4" s="1"/>
      <c r="UKX4" s="1"/>
      <c r="UKY4" s="1"/>
      <c r="UKZ4" s="1"/>
      <c r="ULA4" s="1"/>
      <c r="ULB4" s="1"/>
      <c r="ULC4" s="1"/>
      <c r="ULD4" s="1"/>
      <c r="ULE4" s="1"/>
      <c r="ULF4" s="1"/>
      <c r="ULG4" s="1"/>
      <c r="ULH4" s="1"/>
      <c r="ULI4" s="1"/>
      <c r="ULJ4" s="1"/>
      <c r="ULK4" s="1"/>
      <c r="ULL4" s="1"/>
      <c r="ULM4" s="1"/>
      <c r="ULN4" s="1"/>
      <c r="ULO4" s="1"/>
      <c r="ULP4" s="1"/>
      <c r="ULQ4" s="1"/>
      <c r="ULR4" s="1"/>
      <c r="ULS4" s="1"/>
      <c r="ULT4" s="1"/>
      <c r="ULU4" s="1"/>
      <c r="ULV4" s="1"/>
      <c r="ULW4" s="1"/>
      <c r="ULX4" s="1"/>
      <c r="ULY4" s="1"/>
      <c r="ULZ4" s="1"/>
      <c r="UMA4" s="1"/>
      <c r="UMB4" s="1"/>
      <c r="UMC4" s="1"/>
      <c r="UMD4" s="1"/>
      <c r="UME4" s="1"/>
      <c r="UMF4" s="1"/>
      <c r="UMG4" s="1"/>
      <c r="UMH4" s="1"/>
      <c r="UMI4" s="1"/>
      <c r="UMJ4" s="1"/>
      <c r="UMK4" s="1"/>
      <c r="UML4" s="1"/>
      <c r="UMM4" s="1"/>
      <c r="UMN4" s="1"/>
      <c r="UMO4" s="1"/>
      <c r="UMP4" s="1"/>
      <c r="UMQ4" s="1"/>
      <c r="UMR4" s="1"/>
      <c r="UMS4" s="1"/>
      <c r="UMT4" s="1"/>
      <c r="UMU4" s="1"/>
      <c r="UMV4" s="1"/>
      <c r="UMW4" s="1"/>
      <c r="UMX4" s="1"/>
      <c r="UMY4" s="1"/>
      <c r="UMZ4" s="1"/>
      <c r="UNA4" s="1"/>
      <c r="UNB4" s="1"/>
      <c r="UNC4" s="1"/>
      <c r="UND4" s="1"/>
      <c r="UNE4" s="1"/>
      <c r="UNF4" s="1"/>
      <c r="UNG4" s="1"/>
      <c r="UNH4" s="1"/>
      <c r="UNI4" s="1"/>
      <c r="UNJ4" s="1"/>
      <c r="UNK4" s="1"/>
      <c r="UNL4" s="1"/>
      <c r="UNM4" s="1"/>
      <c r="UNN4" s="1"/>
      <c r="UNO4" s="1"/>
      <c r="UNP4" s="1"/>
      <c r="UNQ4" s="1"/>
      <c r="UNR4" s="1"/>
      <c r="UNS4" s="1"/>
      <c r="UNT4" s="1"/>
      <c r="UNU4" s="1"/>
      <c r="UNV4" s="1"/>
      <c r="UNW4" s="1"/>
      <c r="UNX4" s="1"/>
      <c r="UNY4" s="1"/>
      <c r="UNZ4" s="1"/>
      <c r="UOA4" s="1"/>
      <c r="UOB4" s="1"/>
      <c r="UOC4" s="1"/>
      <c r="UOD4" s="1"/>
      <c r="UOE4" s="1"/>
      <c r="UOF4" s="1"/>
      <c r="UOG4" s="1"/>
      <c r="UOH4" s="1"/>
      <c r="UOI4" s="1"/>
      <c r="UOJ4" s="1"/>
      <c r="UOK4" s="1"/>
      <c r="UOL4" s="1"/>
      <c r="UOM4" s="1"/>
      <c r="UON4" s="1"/>
      <c r="UOO4" s="1"/>
      <c r="UOP4" s="1"/>
      <c r="UOQ4" s="1"/>
      <c r="UOR4" s="1"/>
      <c r="UOS4" s="1"/>
      <c r="UOT4" s="1"/>
      <c r="UOU4" s="1"/>
      <c r="UOV4" s="1"/>
      <c r="UOW4" s="1"/>
      <c r="UOX4" s="1"/>
      <c r="UOY4" s="1"/>
      <c r="UOZ4" s="1"/>
      <c r="UPA4" s="1"/>
      <c r="UPB4" s="1"/>
      <c r="UPC4" s="1"/>
      <c r="UPD4" s="1"/>
      <c r="UPE4" s="1"/>
      <c r="UPF4" s="1"/>
      <c r="UPG4" s="1"/>
      <c r="UPH4" s="1"/>
      <c r="UPI4" s="1"/>
      <c r="UPJ4" s="1"/>
      <c r="UPK4" s="1"/>
      <c r="UPL4" s="1"/>
      <c r="UPM4" s="1"/>
      <c r="UPN4" s="1"/>
      <c r="UPO4" s="1"/>
      <c r="UPP4" s="1"/>
      <c r="UPQ4" s="1"/>
      <c r="UPR4" s="1"/>
      <c r="UPS4" s="1"/>
      <c r="UPT4" s="1"/>
      <c r="UPU4" s="1"/>
      <c r="UPV4" s="1"/>
      <c r="UPW4" s="1"/>
      <c r="UPX4" s="1"/>
      <c r="UPY4" s="1"/>
      <c r="UPZ4" s="1"/>
      <c r="UQA4" s="1"/>
      <c r="UQB4" s="1"/>
      <c r="UQC4" s="1"/>
      <c r="UQD4" s="1"/>
      <c r="UQE4" s="1"/>
      <c r="UQF4" s="1"/>
      <c r="UQG4" s="1"/>
      <c r="UQH4" s="1"/>
      <c r="UQI4" s="1"/>
      <c r="UQJ4" s="1"/>
      <c r="UQK4" s="1"/>
      <c r="UQL4" s="1"/>
      <c r="UQM4" s="1"/>
      <c r="UQN4" s="1"/>
      <c r="UQO4" s="1"/>
      <c r="UQP4" s="1"/>
      <c r="UQQ4" s="1"/>
      <c r="UQR4" s="1"/>
      <c r="UQS4" s="1"/>
      <c r="UQT4" s="1"/>
      <c r="UQU4" s="1"/>
      <c r="UQV4" s="1"/>
      <c r="UQW4" s="1"/>
      <c r="UQX4" s="1"/>
      <c r="UQY4" s="1"/>
      <c r="UQZ4" s="1"/>
      <c r="URA4" s="1"/>
      <c r="URB4" s="1"/>
      <c r="URC4" s="1"/>
      <c r="URD4" s="1"/>
      <c r="URE4" s="1"/>
      <c r="URF4" s="1"/>
      <c r="URG4" s="1"/>
      <c r="URH4" s="1"/>
      <c r="URI4" s="1"/>
      <c r="URJ4" s="1"/>
      <c r="URK4" s="1"/>
      <c r="URL4" s="1"/>
      <c r="URM4" s="1"/>
      <c r="URN4" s="1"/>
      <c r="URO4" s="1"/>
      <c r="URP4" s="1"/>
      <c r="URQ4" s="1"/>
      <c r="URR4" s="1"/>
      <c r="URS4" s="1"/>
      <c r="URT4" s="1"/>
      <c r="URU4" s="1"/>
      <c r="URV4" s="1"/>
      <c r="URW4" s="1"/>
      <c r="URX4" s="1"/>
      <c r="URY4" s="1"/>
      <c r="URZ4" s="1"/>
      <c r="USA4" s="1"/>
      <c r="USB4" s="1"/>
      <c r="USC4" s="1"/>
      <c r="USD4" s="1"/>
      <c r="USE4" s="1"/>
      <c r="USF4" s="1"/>
      <c r="USG4" s="1"/>
      <c r="USH4" s="1"/>
      <c r="USI4" s="1"/>
      <c r="USJ4" s="1"/>
      <c r="USK4" s="1"/>
      <c r="USL4" s="1"/>
      <c r="USM4" s="1"/>
      <c r="USN4" s="1"/>
      <c r="USO4" s="1"/>
      <c r="USP4" s="1"/>
      <c r="USQ4" s="1"/>
      <c r="USR4" s="1"/>
      <c r="USS4" s="1"/>
      <c r="UST4" s="1"/>
      <c r="USU4" s="1"/>
      <c r="USV4" s="1"/>
      <c r="USW4" s="1"/>
      <c r="USX4" s="1"/>
      <c r="USY4" s="1"/>
      <c r="USZ4" s="1"/>
      <c r="UTA4" s="1"/>
      <c r="UTB4" s="1"/>
      <c r="UTC4" s="1"/>
      <c r="UTD4" s="1"/>
      <c r="UTE4" s="1"/>
      <c r="UTF4" s="1"/>
      <c r="UTG4" s="1"/>
      <c r="UTH4" s="1"/>
      <c r="UTI4" s="1"/>
      <c r="UTJ4" s="1"/>
      <c r="UTK4" s="1"/>
      <c r="UTL4" s="1"/>
      <c r="UTM4" s="1"/>
      <c r="UTN4" s="1"/>
      <c r="UTO4" s="1"/>
      <c r="UTP4" s="1"/>
      <c r="UTQ4" s="1"/>
      <c r="UTR4" s="1"/>
      <c r="UTS4" s="1"/>
      <c r="UTT4" s="1"/>
      <c r="UTU4" s="1"/>
      <c r="UTV4" s="1"/>
      <c r="UTW4" s="1"/>
      <c r="UTX4" s="1"/>
      <c r="UTY4" s="1"/>
      <c r="UTZ4" s="1"/>
      <c r="UUA4" s="1"/>
      <c r="UUB4" s="1"/>
      <c r="UUC4" s="1"/>
      <c r="UUD4" s="1"/>
      <c r="UUE4" s="1"/>
      <c r="UUF4" s="1"/>
      <c r="UUG4" s="1"/>
      <c r="UUH4" s="1"/>
      <c r="UUI4" s="1"/>
      <c r="UUJ4" s="1"/>
      <c r="UUK4" s="1"/>
      <c r="UUL4" s="1"/>
      <c r="UUM4" s="1"/>
      <c r="UUN4" s="1"/>
      <c r="UUO4" s="1"/>
      <c r="UUP4" s="1"/>
      <c r="UUQ4" s="1"/>
      <c r="UUR4" s="1"/>
      <c r="UUS4" s="1"/>
      <c r="UUT4" s="1"/>
      <c r="UUU4" s="1"/>
      <c r="UUV4" s="1"/>
      <c r="UUW4" s="1"/>
      <c r="UUX4" s="1"/>
      <c r="UUY4" s="1"/>
      <c r="UUZ4" s="1"/>
      <c r="UVA4" s="1"/>
      <c r="UVB4" s="1"/>
      <c r="UVC4" s="1"/>
      <c r="UVD4" s="1"/>
      <c r="UVE4" s="1"/>
      <c r="UVF4" s="1"/>
      <c r="UVG4" s="1"/>
      <c r="UVH4" s="1"/>
      <c r="UVI4" s="1"/>
      <c r="UVJ4" s="1"/>
      <c r="UVK4" s="1"/>
      <c r="UVL4" s="1"/>
      <c r="UVM4" s="1"/>
      <c r="UVN4" s="1"/>
      <c r="UVO4" s="1"/>
      <c r="UVP4" s="1"/>
      <c r="UVQ4" s="1"/>
      <c r="UVR4" s="1"/>
      <c r="UVS4" s="1"/>
      <c r="UVT4" s="1"/>
      <c r="UVU4" s="1"/>
      <c r="UVV4" s="1"/>
      <c r="UVW4" s="1"/>
      <c r="UVX4" s="1"/>
      <c r="UVY4" s="1"/>
      <c r="UVZ4" s="1"/>
      <c r="UWA4" s="1"/>
      <c r="UWB4" s="1"/>
      <c r="UWC4" s="1"/>
      <c r="UWD4" s="1"/>
      <c r="UWE4" s="1"/>
      <c r="UWF4" s="1"/>
      <c r="UWG4" s="1"/>
      <c r="UWH4" s="1"/>
      <c r="UWI4" s="1"/>
      <c r="UWJ4" s="1"/>
      <c r="UWK4" s="1"/>
      <c r="UWL4" s="1"/>
      <c r="UWM4" s="1"/>
      <c r="UWN4" s="1"/>
      <c r="UWO4" s="1"/>
      <c r="UWP4" s="1"/>
      <c r="UWQ4" s="1"/>
      <c r="UWR4" s="1"/>
      <c r="UWS4" s="1"/>
      <c r="UWT4" s="1"/>
      <c r="UWU4" s="1"/>
      <c r="UWV4" s="1"/>
      <c r="UWW4" s="1"/>
      <c r="UWX4" s="1"/>
      <c r="UWY4" s="1"/>
      <c r="UWZ4" s="1"/>
      <c r="UXA4" s="1"/>
      <c r="UXB4" s="1"/>
      <c r="UXC4" s="1"/>
      <c r="UXD4" s="1"/>
      <c r="UXE4" s="1"/>
      <c r="UXF4" s="1"/>
      <c r="UXG4" s="1"/>
      <c r="UXH4" s="1"/>
      <c r="UXI4" s="1"/>
      <c r="UXJ4" s="1"/>
      <c r="UXK4" s="1"/>
      <c r="UXL4" s="1"/>
      <c r="UXM4" s="1"/>
      <c r="UXN4" s="1"/>
      <c r="UXO4" s="1"/>
      <c r="UXP4" s="1"/>
      <c r="UXQ4" s="1"/>
      <c r="UXR4" s="1"/>
      <c r="UXS4" s="1"/>
      <c r="UXT4" s="1"/>
      <c r="UXU4" s="1"/>
      <c r="UXV4" s="1"/>
      <c r="UXW4" s="1"/>
      <c r="UXX4" s="1"/>
      <c r="UXY4" s="1"/>
      <c r="UXZ4" s="1"/>
      <c r="UYA4" s="1"/>
      <c r="UYB4" s="1"/>
      <c r="UYC4" s="1"/>
      <c r="UYD4" s="1"/>
      <c r="UYE4" s="1"/>
      <c r="UYF4" s="1"/>
      <c r="UYG4" s="1"/>
      <c r="UYH4" s="1"/>
      <c r="UYI4" s="1"/>
      <c r="UYJ4" s="1"/>
      <c r="UYK4" s="1"/>
      <c r="UYL4" s="1"/>
      <c r="UYM4" s="1"/>
      <c r="UYN4" s="1"/>
      <c r="UYO4" s="1"/>
      <c r="UYP4" s="1"/>
      <c r="UYQ4" s="1"/>
      <c r="UYR4" s="1"/>
      <c r="UYS4" s="1"/>
      <c r="UYT4" s="1"/>
      <c r="UYU4" s="1"/>
      <c r="UYV4" s="1"/>
      <c r="UYW4" s="1"/>
      <c r="UYX4" s="1"/>
      <c r="UYY4" s="1"/>
      <c r="UYZ4" s="1"/>
      <c r="UZA4" s="1"/>
      <c r="UZB4" s="1"/>
      <c r="UZC4" s="1"/>
      <c r="UZD4" s="1"/>
      <c r="UZE4" s="1"/>
      <c r="UZF4" s="1"/>
      <c r="UZG4" s="1"/>
      <c r="UZH4" s="1"/>
      <c r="UZI4" s="1"/>
      <c r="UZJ4" s="1"/>
      <c r="UZK4" s="1"/>
      <c r="UZL4" s="1"/>
      <c r="UZM4" s="1"/>
      <c r="UZN4" s="1"/>
      <c r="UZO4" s="1"/>
      <c r="UZP4" s="1"/>
      <c r="UZQ4" s="1"/>
      <c r="UZR4" s="1"/>
      <c r="UZS4" s="1"/>
      <c r="UZT4" s="1"/>
      <c r="UZU4" s="1"/>
      <c r="UZV4" s="1"/>
      <c r="UZW4" s="1"/>
      <c r="UZX4" s="1"/>
      <c r="UZY4" s="1"/>
      <c r="UZZ4" s="1"/>
      <c r="VAA4" s="1"/>
      <c r="VAB4" s="1"/>
      <c r="VAC4" s="1"/>
      <c r="VAD4" s="1"/>
      <c r="VAE4" s="1"/>
      <c r="VAF4" s="1"/>
      <c r="VAG4" s="1"/>
      <c r="VAH4" s="1"/>
      <c r="VAI4" s="1"/>
      <c r="VAJ4" s="1"/>
      <c r="VAK4" s="1"/>
      <c r="VAL4" s="1"/>
      <c r="VAM4" s="1"/>
      <c r="VAN4" s="1"/>
      <c r="VAO4" s="1"/>
      <c r="VAP4" s="1"/>
      <c r="VAQ4" s="1"/>
      <c r="VAR4" s="1"/>
      <c r="VAS4" s="1"/>
      <c r="VAT4" s="1"/>
      <c r="VAU4" s="1"/>
      <c r="VAV4" s="1"/>
      <c r="VAW4" s="1"/>
      <c r="VAX4" s="1"/>
      <c r="VAY4" s="1"/>
      <c r="VAZ4" s="1"/>
      <c r="VBA4" s="1"/>
      <c r="VBB4" s="1"/>
      <c r="VBC4" s="1"/>
      <c r="VBD4" s="1"/>
      <c r="VBE4" s="1"/>
      <c r="VBF4" s="1"/>
      <c r="VBG4" s="1"/>
      <c r="VBH4" s="1"/>
      <c r="VBI4" s="1"/>
      <c r="VBJ4" s="1"/>
      <c r="VBK4" s="1"/>
      <c r="VBL4" s="1"/>
      <c r="VBM4" s="1"/>
      <c r="VBN4" s="1"/>
      <c r="VBO4" s="1"/>
      <c r="VBP4" s="1"/>
      <c r="VBQ4" s="1"/>
      <c r="VBR4" s="1"/>
      <c r="VBS4" s="1"/>
      <c r="VBT4" s="1"/>
      <c r="VBU4" s="1"/>
      <c r="VBV4" s="1"/>
      <c r="VBW4" s="1"/>
      <c r="VBX4" s="1"/>
      <c r="VBY4" s="1"/>
      <c r="VBZ4" s="1"/>
      <c r="VCA4" s="1"/>
      <c r="VCB4" s="1"/>
      <c r="VCC4" s="1"/>
      <c r="VCD4" s="1"/>
      <c r="VCE4" s="1"/>
      <c r="VCF4" s="1"/>
      <c r="VCG4" s="1"/>
      <c r="VCH4" s="1"/>
      <c r="VCI4" s="1"/>
      <c r="VCJ4" s="1"/>
      <c r="VCK4" s="1"/>
      <c r="VCL4" s="1"/>
      <c r="VCM4" s="1"/>
      <c r="VCN4" s="1"/>
      <c r="VCO4" s="1"/>
      <c r="VCP4" s="1"/>
      <c r="VCQ4" s="1"/>
      <c r="VCR4" s="1"/>
      <c r="VCS4" s="1"/>
      <c r="VCT4" s="1"/>
      <c r="VCU4" s="1"/>
      <c r="VCV4" s="1"/>
      <c r="VCW4" s="1"/>
      <c r="VCX4" s="1"/>
      <c r="VCY4" s="1"/>
      <c r="VCZ4" s="1"/>
      <c r="VDA4" s="1"/>
      <c r="VDB4" s="1"/>
      <c r="VDC4" s="1"/>
      <c r="VDD4" s="1"/>
      <c r="VDE4" s="1"/>
      <c r="VDF4" s="1"/>
      <c r="VDG4" s="1"/>
      <c r="VDH4" s="1"/>
      <c r="VDI4" s="1"/>
      <c r="VDJ4" s="1"/>
      <c r="VDK4" s="1"/>
      <c r="VDL4" s="1"/>
      <c r="VDM4" s="1"/>
      <c r="VDN4" s="1"/>
      <c r="VDO4" s="1"/>
      <c r="VDP4" s="1"/>
      <c r="VDQ4" s="1"/>
      <c r="VDR4" s="1"/>
      <c r="VDS4" s="1"/>
      <c r="VDT4" s="1"/>
      <c r="VDU4" s="1"/>
      <c r="VDV4" s="1"/>
      <c r="VDW4" s="1"/>
      <c r="VDX4" s="1"/>
      <c r="VDY4" s="1"/>
      <c r="VDZ4" s="1"/>
      <c r="VEA4" s="1"/>
      <c r="VEB4" s="1"/>
      <c r="VEC4" s="1"/>
      <c r="VED4" s="1"/>
      <c r="VEE4" s="1"/>
      <c r="VEF4" s="1"/>
      <c r="VEG4" s="1"/>
      <c r="VEH4" s="1"/>
      <c r="VEI4" s="1"/>
      <c r="VEJ4" s="1"/>
      <c r="VEK4" s="1"/>
      <c r="VEL4" s="1"/>
      <c r="VEM4" s="1"/>
      <c r="VEN4" s="1"/>
      <c r="VEO4" s="1"/>
      <c r="VEP4" s="1"/>
      <c r="VEQ4" s="1"/>
      <c r="VER4" s="1"/>
      <c r="VES4" s="1"/>
      <c r="VET4" s="1"/>
      <c r="VEU4" s="1"/>
      <c r="VEV4" s="1"/>
      <c r="VEW4" s="1"/>
      <c r="VEX4" s="1"/>
      <c r="VEY4" s="1"/>
      <c r="VEZ4" s="1"/>
      <c r="VFA4" s="1"/>
      <c r="VFB4" s="1"/>
      <c r="VFC4" s="1"/>
      <c r="VFD4" s="1"/>
      <c r="VFE4" s="1"/>
      <c r="VFF4" s="1"/>
      <c r="VFG4" s="1"/>
      <c r="VFH4" s="1"/>
      <c r="VFI4" s="1"/>
      <c r="VFJ4" s="1"/>
      <c r="VFK4" s="1"/>
      <c r="VFL4" s="1"/>
      <c r="VFM4" s="1"/>
      <c r="VFN4" s="1"/>
      <c r="VFO4" s="1"/>
      <c r="VFP4" s="1"/>
      <c r="VFQ4" s="1"/>
      <c r="VFR4" s="1"/>
      <c r="VFS4" s="1"/>
      <c r="VFT4" s="1"/>
      <c r="VFU4" s="1"/>
      <c r="VFV4" s="1"/>
      <c r="VFW4" s="1"/>
      <c r="VFX4" s="1"/>
      <c r="VFY4" s="1"/>
      <c r="VFZ4" s="1"/>
      <c r="VGA4" s="1"/>
      <c r="VGB4" s="1"/>
      <c r="VGC4" s="1"/>
      <c r="VGD4" s="1"/>
      <c r="VGE4" s="1"/>
      <c r="VGF4" s="1"/>
      <c r="VGG4" s="1"/>
      <c r="VGH4" s="1"/>
      <c r="VGI4" s="1"/>
      <c r="VGJ4" s="1"/>
      <c r="VGK4" s="1"/>
      <c r="VGL4" s="1"/>
      <c r="VGM4" s="1"/>
      <c r="VGN4" s="1"/>
      <c r="VGO4" s="1"/>
      <c r="VGP4" s="1"/>
      <c r="VGQ4" s="1"/>
      <c r="VGR4" s="1"/>
      <c r="VGS4" s="1"/>
      <c r="VGT4" s="1"/>
      <c r="VGU4" s="1"/>
      <c r="VGV4" s="1"/>
      <c r="VGW4" s="1"/>
      <c r="VGX4" s="1"/>
      <c r="VGY4" s="1"/>
      <c r="VGZ4" s="1"/>
      <c r="VHA4" s="1"/>
      <c r="VHB4" s="1"/>
      <c r="VHC4" s="1"/>
      <c r="VHD4" s="1"/>
      <c r="VHE4" s="1"/>
      <c r="VHF4" s="1"/>
      <c r="VHG4" s="1"/>
      <c r="VHH4" s="1"/>
      <c r="VHI4" s="1"/>
      <c r="VHJ4" s="1"/>
      <c r="VHK4" s="1"/>
      <c r="VHL4" s="1"/>
      <c r="VHM4" s="1"/>
      <c r="VHN4" s="1"/>
      <c r="VHO4" s="1"/>
      <c r="VHP4" s="1"/>
      <c r="VHQ4" s="1"/>
      <c r="VHR4" s="1"/>
      <c r="VHS4" s="1"/>
      <c r="VHT4" s="1"/>
      <c r="VHU4" s="1"/>
      <c r="VHV4" s="1"/>
      <c r="VHW4" s="1"/>
      <c r="VHX4" s="1"/>
      <c r="VHY4" s="1"/>
      <c r="VHZ4" s="1"/>
      <c r="VIA4" s="1"/>
      <c r="VIB4" s="1"/>
      <c r="VIC4" s="1"/>
      <c r="VID4" s="1"/>
      <c r="VIE4" s="1"/>
      <c r="VIF4" s="1"/>
      <c r="VIG4" s="1"/>
      <c r="VIH4" s="1"/>
      <c r="VII4" s="1"/>
      <c r="VIJ4" s="1"/>
      <c r="VIK4" s="1"/>
      <c r="VIL4" s="1"/>
      <c r="VIM4" s="1"/>
      <c r="VIN4" s="1"/>
      <c r="VIO4" s="1"/>
      <c r="VIP4" s="1"/>
      <c r="VIQ4" s="1"/>
      <c r="VIR4" s="1"/>
      <c r="VIS4" s="1"/>
      <c r="VIT4" s="1"/>
      <c r="VIU4" s="1"/>
      <c r="VIV4" s="1"/>
      <c r="VIW4" s="1"/>
      <c r="VIX4" s="1"/>
      <c r="VIY4" s="1"/>
      <c r="VIZ4" s="1"/>
      <c r="VJA4" s="1"/>
      <c r="VJB4" s="1"/>
      <c r="VJC4" s="1"/>
      <c r="VJD4" s="1"/>
      <c r="VJE4" s="1"/>
      <c r="VJF4" s="1"/>
      <c r="VJG4" s="1"/>
      <c r="VJH4" s="1"/>
      <c r="VJI4" s="1"/>
      <c r="VJJ4" s="1"/>
      <c r="VJK4" s="1"/>
      <c r="VJL4" s="1"/>
      <c r="VJM4" s="1"/>
      <c r="VJN4" s="1"/>
      <c r="VJO4" s="1"/>
      <c r="VJP4" s="1"/>
      <c r="VJQ4" s="1"/>
      <c r="VJR4" s="1"/>
      <c r="VJS4" s="1"/>
      <c r="VJT4" s="1"/>
      <c r="VJU4" s="1"/>
      <c r="VJV4" s="1"/>
      <c r="VJW4" s="1"/>
      <c r="VJX4" s="1"/>
      <c r="VJY4" s="1"/>
      <c r="VJZ4" s="1"/>
      <c r="VKA4" s="1"/>
      <c r="VKB4" s="1"/>
      <c r="VKC4" s="1"/>
      <c r="VKD4" s="1"/>
      <c r="VKE4" s="1"/>
      <c r="VKF4" s="1"/>
      <c r="VKG4" s="1"/>
      <c r="VKH4" s="1"/>
      <c r="VKI4" s="1"/>
      <c r="VKJ4" s="1"/>
      <c r="VKK4" s="1"/>
      <c r="VKL4" s="1"/>
      <c r="VKM4" s="1"/>
      <c r="VKN4" s="1"/>
      <c r="VKO4" s="1"/>
      <c r="VKP4" s="1"/>
      <c r="VKQ4" s="1"/>
      <c r="VKR4" s="1"/>
      <c r="VKS4" s="1"/>
      <c r="VKT4" s="1"/>
      <c r="VKU4" s="1"/>
      <c r="VKV4" s="1"/>
      <c r="VKW4" s="1"/>
      <c r="VKX4" s="1"/>
      <c r="VKY4" s="1"/>
      <c r="VKZ4" s="1"/>
      <c r="VLA4" s="1"/>
      <c r="VLB4" s="1"/>
      <c r="VLC4" s="1"/>
      <c r="VLD4" s="1"/>
      <c r="VLE4" s="1"/>
      <c r="VLF4" s="1"/>
      <c r="VLG4" s="1"/>
      <c r="VLH4" s="1"/>
      <c r="VLI4" s="1"/>
      <c r="VLJ4" s="1"/>
      <c r="VLK4" s="1"/>
      <c r="VLL4" s="1"/>
      <c r="VLM4" s="1"/>
      <c r="VLN4" s="1"/>
      <c r="VLO4" s="1"/>
      <c r="VLP4" s="1"/>
      <c r="VLQ4" s="1"/>
      <c r="VLR4" s="1"/>
      <c r="VLS4" s="1"/>
      <c r="VLT4" s="1"/>
      <c r="VLU4" s="1"/>
      <c r="VLV4" s="1"/>
      <c r="VLW4" s="1"/>
      <c r="VLX4" s="1"/>
      <c r="VLY4" s="1"/>
      <c r="VLZ4" s="1"/>
      <c r="VMA4" s="1"/>
      <c r="VMB4" s="1"/>
      <c r="VMC4" s="1"/>
      <c r="VMD4" s="1"/>
      <c r="VME4" s="1"/>
      <c r="VMF4" s="1"/>
      <c r="VMG4" s="1"/>
      <c r="VMH4" s="1"/>
      <c r="VMI4" s="1"/>
      <c r="VMJ4" s="1"/>
      <c r="VMK4" s="1"/>
      <c r="VML4" s="1"/>
      <c r="VMM4" s="1"/>
      <c r="VMN4" s="1"/>
      <c r="VMO4" s="1"/>
      <c r="VMP4" s="1"/>
      <c r="VMQ4" s="1"/>
      <c r="VMR4" s="1"/>
      <c r="VMS4" s="1"/>
      <c r="VMT4" s="1"/>
      <c r="VMU4" s="1"/>
      <c r="VMV4" s="1"/>
      <c r="VMW4" s="1"/>
      <c r="VMX4" s="1"/>
      <c r="VMY4" s="1"/>
      <c r="VMZ4" s="1"/>
      <c r="VNA4" s="1"/>
      <c r="VNB4" s="1"/>
      <c r="VNC4" s="1"/>
      <c r="VND4" s="1"/>
      <c r="VNE4" s="1"/>
      <c r="VNF4" s="1"/>
      <c r="VNG4" s="1"/>
      <c r="VNH4" s="1"/>
      <c r="VNI4" s="1"/>
      <c r="VNJ4" s="1"/>
      <c r="VNK4" s="1"/>
      <c r="VNL4" s="1"/>
      <c r="VNM4" s="1"/>
      <c r="VNN4" s="1"/>
      <c r="VNO4" s="1"/>
      <c r="VNP4" s="1"/>
      <c r="VNQ4" s="1"/>
      <c r="VNR4" s="1"/>
      <c r="VNS4" s="1"/>
      <c r="VNT4" s="1"/>
      <c r="VNU4" s="1"/>
      <c r="VNV4" s="1"/>
      <c r="VNW4" s="1"/>
      <c r="VNX4" s="1"/>
      <c r="VNY4" s="1"/>
      <c r="VNZ4" s="1"/>
      <c r="VOA4" s="1"/>
      <c r="VOB4" s="1"/>
      <c r="VOC4" s="1"/>
      <c r="VOD4" s="1"/>
      <c r="VOE4" s="1"/>
      <c r="VOF4" s="1"/>
      <c r="VOG4" s="1"/>
      <c r="VOH4" s="1"/>
      <c r="VOI4" s="1"/>
      <c r="VOJ4" s="1"/>
      <c r="VOK4" s="1"/>
      <c r="VOL4" s="1"/>
      <c r="VOM4" s="1"/>
      <c r="VON4" s="1"/>
      <c r="VOO4" s="1"/>
      <c r="VOP4" s="1"/>
      <c r="VOQ4" s="1"/>
      <c r="VOR4" s="1"/>
      <c r="VOS4" s="1"/>
      <c r="VOT4" s="1"/>
      <c r="VOU4" s="1"/>
      <c r="VOV4" s="1"/>
      <c r="VOW4" s="1"/>
      <c r="VOX4" s="1"/>
      <c r="VOY4" s="1"/>
      <c r="VOZ4" s="1"/>
      <c r="VPA4" s="1"/>
      <c r="VPB4" s="1"/>
      <c r="VPC4" s="1"/>
      <c r="VPD4" s="1"/>
      <c r="VPE4" s="1"/>
      <c r="VPF4" s="1"/>
      <c r="VPG4" s="1"/>
      <c r="VPH4" s="1"/>
      <c r="VPI4" s="1"/>
      <c r="VPJ4" s="1"/>
      <c r="VPK4" s="1"/>
      <c r="VPL4" s="1"/>
      <c r="VPM4" s="1"/>
      <c r="VPN4" s="1"/>
      <c r="VPO4" s="1"/>
      <c r="VPP4" s="1"/>
      <c r="VPQ4" s="1"/>
      <c r="VPR4" s="1"/>
      <c r="VPS4" s="1"/>
      <c r="VPT4" s="1"/>
      <c r="VPU4" s="1"/>
      <c r="VPV4" s="1"/>
      <c r="VPW4" s="1"/>
      <c r="VPX4" s="1"/>
      <c r="VPY4" s="1"/>
      <c r="VPZ4" s="1"/>
      <c r="VQA4" s="1"/>
      <c r="VQB4" s="1"/>
      <c r="VQC4" s="1"/>
      <c r="VQD4" s="1"/>
      <c r="VQE4" s="1"/>
      <c r="VQF4" s="1"/>
      <c r="VQG4" s="1"/>
      <c r="VQH4" s="1"/>
      <c r="VQI4" s="1"/>
      <c r="VQJ4" s="1"/>
      <c r="VQK4" s="1"/>
      <c r="VQL4" s="1"/>
      <c r="VQM4" s="1"/>
      <c r="VQN4" s="1"/>
      <c r="VQO4" s="1"/>
      <c r="VQP4" s="1"/>
      <c r="VQQ4" s="1"/>
      <c r="VQR4" s="1"/>
      <c r="VQS4" s="1"/>
      <c r="VQT4" s="1"/>
      <c r="VQU4" s="1"/>
      <c r="VQV4" s="1"/>
      <c r="VQW4" s="1"/>
      <c r="VQX4" s="1"/>
      <c r="VQY4" s="1"/>
      <c r="VQZ4" s="1"/>
      <c r="VRA4" s="1"/>
      <c r="VRB4" s="1"/>
      <c r="VRC4" s="1"/>
      <c r="VRD4" s="1"/>
      <c r="VRE4" s="1"/>
      <c r="VRF4" s="1"/>
      <c r="VRG4" s="1"/>
      <c r="VRH4" s="1"/>
      <c r="VRI4" s="1"/>
      <c r="VRJ4" s="1"/>
      <c r="VRK4" s="1"/>
      <c r="VRL4" s="1"/>
      <c r="VRM4" s="1"/>
      <c r="VRN4" s="1"/>
      <c r="VRO4" s="1"/>
      <c r="VRP4" s="1"/>
      <c r="VRQ4" s="1"/>
      <c r="VRR4" s="1"/>
      <c r="VRS4" s="1"/>
      <c r="VRT4" s="1"/>
      <c r="VRU4" s="1"/>
      <c r="VRV4" s="1"/>
      <c r="VRW4" s="1"/>
      <c r="VRX4" s="1"/>
      <c r="VRY4" s="1"/>
      <c r="VRZ4" s="1"/>
      <c r="VSA4" s="1"/>
      <c r="VSB4" s="1"/>
      <c r="VSC4" s="1"/>
      <c r="VSD4" s="1"/>
      <c r="VSE4" s="1"/>
      <c r="VSF4" s="1"/>
      <c r="VSG4" s="1"/>
      <c r="VSH4" s="1"/>
      <c r="VSI4" s="1"/>
      <c r="VSJ4" s="1"/>
      <c r="VSK4" s="1"/>
      <c r="VSL4" s="1"/>
      <c r="VSM4" s="1"/>
      <c r="VSN4" s="1"/>
      <c r="VSO4" s="1"/>
      <c r="VSP4" s="1"/>
      <c r="VSQ4" s="1"/>
      <c r="VSR4" s="1"/>
      <c r="VSS4" s="1"/>
      <c r="VST4" s="1"/>
      <c r="VSU4" s="1"/>
      <c r="VSV4" s="1"/>
      <c r="VSW4" s="1"/>
      <c r="VSX4" s="1"/>
      <c r="VSY4" s="1"/>
      <c r="VSZ4" s="1"/>
      <c r="VTA4" s="1"/>
      <c r="VTB4" s="1"/>
      <c r="VTC4" s="1"/>
      <c r="VTD4" s="1"/>
      <c r="VTE4" s="1"/>
      <c r="VTF4" s="1"/>
      <c r="VTG4" s="1"/>
      <c r="VTH4" s="1"/>
      <c r="VTI4" s="1"/>
      <c r="VTJ4" s="1"/>
      <c r="VTK4" s="1"/>
      <c r="VTL4" s="1"/>
      <c r="VTM4" s="1"/>
      <c r="VTN4" s="1"/>
      <c r="VTO4" s="1"/>
      <c r="VTP4" s="1"/>
      <c r="VTQ4" s="1"/>
      <c r="VTR4" s="1"/>
      <c r="VTS4" s="1"/>
      <c r="VTT4" s="1"/>
      <c r="VTU4" s="1"/>
      <c r="VTV4" s="1"/>
      <c r="VTW4" s="1"/>
      <c r="VTX4" s="1"/>
      <c r="VTY4" s="1"/>
      <c r="VTZ4" s="1"/>
      <c r="VUA4" s="1"/>
      <c r="VUB4" s="1"/>
      <c r="VUC4" s="1"/>
      <c r="VUD4" s="1"/>
      <c r="VUE4" s="1"/>
      <c r="VUF4" s="1"/>
      <c r="VUG4" s="1"/>
      <c r="VUH4" s="1"/>
      <c r="VUI4" s="1"/>
      <c r="VUJ4" s="1"/>
      <c r="VUK4" s="1"/>
      <c r="VUL4" s="1"/>
      <c r="VUM4" s="1"/>
      <c r="VUN4" s="1"/>
      <c r="VUO4" s="1"/>
      <c r="VUP4" s="1"/>
      <c r="VUQ4" s="1"/>
      <c r="VUR4" s="1"/>
      <c r="VUS4" s="1"/>
      <c r="VUT4" s="1"/>
      <c r="VUU4" s="1"/>
      <c r="VUV4" s="1"/>
      <c r="VUW4" s="1"/>
      <c r="VUX4" s="1"/>
      <c r="VUY4" s="1"/>
      <c r="VUZ4" s="1"/>
      <c r="VVA4" s="1"/>
      <c r="VVB4" s="1"/>
      <c r="VVC4" s="1"/>
      <c r="VVD4" s="1"/>
      <c r="VVE4" s="1"/>
      <c r="VVF4" s="1"/>
      <c r="VVG4" s="1"/>
      <c r="VVH4" s="1"/>
      <c r="VVI4" s="1"/>
      <c r="VVJ4" s="1"/>
      <c r="VVK4" s="1"/>
      <c r="VVL4" s="1"/>
      <c r="VVM4" s="1"/>
      <c r="VVN4" s="1"/>
      <c r="VVO4" s="1"/>
      <c r="VVP4" s="1"/>
      <c r="VVQ4" s="1"/>
      <c r="VVR4" s="1"/>
      <c r="VVS4" s="1"/>
      <c r="VVT4" s="1"/>
      <c r="VVU4" s="1"/>
      <c r="VVV4" s="1"/>
      <c r="VVW4" s="1"/>
      <c r="VVX4" s="1"/>
      <c r="VVY4" s="1"/>
      <c r="VVZ4" s="1"/>
      <c r="VWA4" s="1"/>
      <c r="VWB4" s="1"/>
      <c r="VWC4" s="1"/>
      <c r="VWD4" s="1"/>
      <c r="VWE4" s="1"/>
      <c r="VWF4" s="1"/>
      <c r="VWG4" s="1"/>
      <c r="VWH4" s="1"/>
      <c r="VWI4" s="1"/>
      <c r="VWJ4" s="1"/>
      <c r="VWK4" s="1"/>
      <c r="VWL4" s="1"/>
      <c r="VWM4" s="1"/>
      <c r="VWN4" s="1"/>
      <c r="VWO4" s="1"/>
      <c r="VWP4" s="1"/>
      <c r="VWQ4" s="1"/>
      <c r="VWR4" s="1"/>
      <c r="VWS4" s="1"/>
      <c r="VWT4" s="1"/>
      <c r="VWU4" s="1"/>
      <c r="VWV4" s="1"/>
      <c r="VWW4" s="1"/>
      <c r="VWX4" s="1"/>
      <c r="VWY4" s="1"/>
      <c r="VWZ4" s="1"/>
      <c r="VXA4" s="1"/>
      <c r="VXB4" s="1"/>
      <c r="VXC4" s="1"/>
      <c r="VXD4" s="1"/>
      <c r="VXE4" s="1"/>
      <c r="VXF4" s="1"/>
      <c r="VXG4" s="1"/>
      <c r="VXH4" s="1"/>
      <c r="VXI4" s="1"/>
      <c r="VXJ4" s="1"/>
      <c r="VXK4" s="1"/>
      <c r="VXL4" s="1"/>
      <c r="VXM4" s="1"/>
      <c r="VXN4" s="1"/>
      <c r="VXO4" s="1"/>
      <c r="VXP4" s="1"/>
      <c r="VXQ4" s="1"/>
      <c r="VXR4" s="1"/>
      <c r="VXS4" s="1"/>
      <c r="VXT4" s="1"/>
      <c r="VXU4" s="1"/>
      <c r="VXV4" s="1"/>
      <c r="VXW4" s="1"/>
      <c r="VXX4" s="1"/>
      <c r="VXY4" s="1"/>
      <c r="VXZ4" s="1"/>
      <c r="VYA4" s="1"/>
      <c r="VYB4" s="1"/>
      <c r="VYC4" s="1"/>
      <c r="VYD4" s="1"/>
      <c r="VYE4" s="1"/>
      <c r="VYF4" s="1"/>
      <c r="VYG4" s="1"/>
      <c r="VYH4" s="1"/>
      <c r="VYI4" s="1"/>
      <c r="VYJ4" s="1"/>
      <c r="VYK4" s="1"/>
      <c r="VYL4" s="1"/>
      <c r="VYM4" s="1"/>
      <c r="VYN4" s="1"/>
      <c r="VYO4" s="1"/>
      <c r="VYP4" s="1"/>
      <c r="VYQ4" s="1"/>
      <c r="VYR4" s="1"/>
      <c r="VYS4" s="1"/>
      <c r="VYT4" s="1"/>
      <c r="VYU4" s="1"/>
      <c r="VYV4" s="1"/>
      <c r="VYW4" s="1"/>
      <c r="VYX4" s="1"/>
      <c r="VYY4" s="1"/>
      <c r="VYZ4" s="1"/>
      <c r="VZA4" s="1"/>
      <c r="VZB4" s="1"/>
      <c r="VZC4" s="1"/>
      <c r="VZD4" s="1"/>
      <c r="VZE4" s="1"/>
      <c r="VZF4" s="1"/>
      <c r="VZG4" s="1"/>
      <c r="VZH4" s="1"/>
      <c r="VZI4" s="1"/>
      <c r="VZJ4" s="1"/>
      <c r="VZK4" s="1"/>
      <c r="VZL4" s="1"/>
      <c r="VZM4" s="1"/>
      <c r="VZN4" s="1"/>
      <c r="VZO4" s="1"/>
      <c r="VZP4" s="1"/>
      <c r="VZQ4" s="1"/>
      <c r="VZR4" s="1"/>
      <c r="VZS4" s="1"/>
      <c r="VZT4" s="1"/>
      <c r="VZU4" s="1"/>
      <c r="VZV4" s="1"/>
      <c r="VZW4" s="1"/>
      <c r="VZX4" s="1"/>
      <c r="VZY4" s="1"/>
      <c r="VZZ4" s="1"/>
      <c r="WAA4" s="1"/>
      <c r="WAB4" s="1"/>
      <c r="WAC4" s="1"/>
      <c r="WAD4" s="1"/>
      <c r="WAE4" s="1"/>
      <c r="WAF4" s="1"/>
      <c r="WAG4" s="1"/>
      <c r="WAH4" s="1"/>
      <c r="WAI4" s="1"/>
      <c r="WAJ4" s="1"/>
      <c r="WAK4" s="1"/>
      <c r="WAL4" s="1"/>
      <c r="WAM4" s="1"/>
      <c r="WAN4" s="1"/>
      <c r="WAO4" s="1"/>
      <c r="WAP4" s="1"/>
      <c r="WAQ4" s="1"/>
      <c r="WAR4" s="1"/>
      <c r="WAS4" s="1"/>
      <c r="WAT4" s="1"/>
      <c r="WAU4" s="1"/>
      <c r="WAV4" s="1"/>
      <c r="WAW4" s="1"/>
      <c r="WAX4" s="1"/>
      <c r="WAY4" s="1"/>
      <c r="WAZ4" s="1"/>
      <c r="WBA4" s="1"/>
      <c r="WBB4" s="1"/>
      <c r="WBC4" s="1"/>
      <c r="WBD4" s="1"/>
      <c r="WBE4" s="1"/>
      <c r="WBF4" s="1"/>
      <c r="WBG4" s="1"/>
      <c r="WBH4" s="1"/>
      <c r="WBI4" s="1"/>
      <c r="WBJ4" s="1"/>
      <c r="WBK4" s="1"/>
      <c r="WBL4" s="1"/>
      <c r="WBM4" s="1"/>
      <c r="WBN4" s="1"/>
      <c r="WBO4" s="1"/>
      <c r="WBP4" s="1"/>
      <c r="WBQ4" s="1"/>
      <c r="WBR4" s="1"/>
      <c r="WBS4" s="1"/>
      <c r="WBT4" s="1"/>
      <c r="WBU4" s="1"/>
      <c r="WBV4" s="1"/>
      <c r="WBW4" s="1"/>
      <c r="WBX4" s="1"/>
      <c r="WBY4" s="1"/>
      <c r="WBZ4" s="1"/>
      <c r="WCA4" s="1"/>
      <c r="WCB4" s="1"/>
      <c r="WCC4" s="1"/>
      <c r="WCD4" s="1"/>
      <c r="WCE4" s="1"/>
      <c r="WCF4" s="1"/>
      <c r="WCG4" s="1"/>
      <c r="WCH4" s="1"/>
      <c r="WCI4" s="1"/>
      <c r="WCJ4" s="1"/>
      <c r="WCK4" s="1"/>
      <c r="WCL4" s="1"/>
      <c r="WCM4" s="1"/>
      <c r="WCN4" s="1"/>
      <c r="WCO4" s="1"/>
      <c r="WCP4" s="1"/>
      <c r="WCQ4" s="1"/>
      <c r="WCR4" s="1"/>
      <c r="WCS4" s="1"/>
      <c r="WCT4" s="1"/>
      <c r="WCU4" s="1"/>
      <c r="WCV4" s="1"/>
      <c r="WCW4" s="1"/>
      <c r="WCX4" s="1"/>
      <c r="WCY4" s="1"/>
      <c r="WCZ4" s="1"/>
      <c r="WDA4" s="1"/>
      <c r="WDB4" s="1"/>
      <c r="WDC4" s="1"/>
      <c r="WDD4" s="1"/>
      <c r="WDE4" s="1"/>
      <c r="WDF4" s="1"/>
      <c r="WDG4" s="1"/>
      <c r="WDH4" s="1"/>
      <c r="WDI4" s="1"/>
      <c r="WDJ4" s="1"/>
      <c r="WDK4" s="1"/>
      <c r="WDL4" s="1"/>
      <c r="WDM4" s="1"/>
      <c r="WDN4" s="1"/>
      <c r="WDO4" s="1"/>
      <c r="WDP4" s="1"/>
      <c r="WDQ4" s="1"/>
      <c r="WDR4" s="1"/>
      <c r="WDS4" s="1"/>
      <c r="WDT4" s="1"/>
      <c r="WDU4" s="1"/>
      <c r="WDV4" s="1"/>
      <c r="WDW4" s="1"/>
      <c r="WDX4" s="1"/>
      <c r="WDY4" s="1"/>
      <c r="WDZ4" s="1"/>
      <c r="WEA4" s="1"/>
      <c r="WEB4" s="1"/>
      <c r="WEC4" s="1"/>
      <c r="WED4" s="1"/>
      <c r="WEE4" s="1"/>
      <c r="WEF4" s="1"/>
      <c r="WEG4" s="1"/>
      <c r="WEH4" s="1"/>
      <c r="WEI4" s="1"/>
      <c r="WEJ4" s="1"/>
      <c r="WEK4" s="1"/>
      <c r="WEL4" s="1"/>
      <c r="WEM4" s="1"/>
      <c r="WEN4" s="1"/>
      <c r="WEO4" s="1"/>
      <c r="WEP4" s="1"/>
      <c r="WEQ4" s="1"/>
      <c r="WER4" s="1"/>
      <c r="WES4" s="1"/>
      <c r="WET4" s="1"/>
      <c r="WEU4" s="1"/>
      <c r="WEV4" s="1"/>
      <c r="WEW4" s="1"/>
      <c r="WEX4" s="1"/>
      <c r="WEY4" s="1"/>
      <c r="WEZ4" s="1"/>
      <c r="WFA4" s="1"/>
      <c r="WFB4" s="1"/>
      <c r="WFC4" s="1"/>
      <c r="WFD4" s="1"/>
      <c r="WFE4" s="1"/>
      <c r="WFF4" s="1"/>
      <c r="WFG4" s="1"/>
      <c r="WFH4" s="1"/>
      <c r="WFI4" s="1"/>
      <c r="WFJ4" s="1"/>
      <c r="WFK4" s="1"/>
      <c r="WFL4" s="1"/>
      <c r="WFM4" s="1"/>
      <c r="WFN4" s="1"/>
      <c r="WFO4" s="1"/>
      <c r="WFP4" s="1"/>
      <c r="WFQ4" s="1"/>
      <c r="WFR4" s="1"/>
      <c r="WFS4" s="1"/>
      <c r="WFT4" s="1"/>
      <c r="WFU4" s="1"/>
      <c r="WFV4" s="1"/>
      <c r="WFW4" s="1"/>
      <c r="WFX4" s="1"/>
      <c r="WFY4" s="1"/>
      <c r="WFZ4" s="1"/>
      <c r="WGA4" s="1"/>
      <c r="WGB4" s="1"/>
      <c r="WGC4" s="1"/>
      <c r="WGD4" s="1"/>
      <c r="WGE4" s="1"/>
      <c r="WGF4" s="1"/>
      <c r="WGG4" s="1"/>
      <c r="WGH4" s="1"/>
      <c r="WGI4" s="1"/>
      <c r="WGJ4" s="1"/>
      <c r="WGK4" s="1"/>
      <c r="WGL4" s="1"/>
      <c r="WGM4" s="1"/>
      <c r="WGN4" s="1"/>
      <c r="WGO4" s="1"/>
      <c r="WGP4" s="1"/>
      <c r="WGQ4" s="1"/>
      <c r="WGR4" s="1"/>
      <c r="WGS4" s="1"/>
      <c r="WGT4" s="1"/>
      <c r="WGU4" s="1"/>
      <c r="WGV4" s="1"/>
      <c r="WGW4" s="1"/>
      <c r="WGX4" s="1"/>
      <c r="WGY4" s="1"/>
      <c r="WGZ4" s="1"/>
      <c r="WHA4" s="1"/>
      <c r="WHB4" s="1"/>
      <c r="WHC4" s="1"/>
      <c r="WHD4" s="1"/>
      <c r="WHE4" s="1"/>
      <c r="WHF4" s="1"/>
      <c r="WHG4" s="1"/>
      <c r="WHH4" s="1"/>
      <c r="WHI4" s="1"/>
      <c r="WHJ4" s="1"/>
      <c r="WHK4" s="1"/>
      <c r="WHL4" s="1"/>
      <c r="WHM4" s="1"/>
      <c r="WHN4" s="1"/>
      <c r="WHO4" s="1"/>
      <c r="WHP4" s="1"/>
      <c r="WHQ4" s="1"/>
      <c r="WHR4" s="1"/>
      <c r="WHS4" s="1"/>
      <c r="WHT4" s="1"/>
      <c r="WHU4" s="1"/>
      <c r="WHV4" s="1"/>
      <c r="WHW4" s="1"/>
      <c r="WHX4" s="1"/>
      <c r="WHY4" s="1"/>
      <c r="WHZ4" s="1"/>
      <c r="WIA4" s="1"/>
      <c r="WIB4" s="1"/>
      <c r="WIC4" s="1"/>
      <c r="WID4" s="1"/>
      <c r="WIE4" s="1"/>
      <c r="WIF4" s="1"/>
      <c r="WIG4" s="1"/>
      <c r="WIH4" s="1"/>
      <c r="WII4" s="1"/>
      <c r="WIJ4" s="1"/>
      <c r="WIK4" s="1"/>
      <c r="WIL4" s="1"/>
      <c r="WIM4" s="1"/>
      <c r="WIN4" s="1"/>
      <c r="WIO4" s="1"/>
      <c r="WIP4" s="1"/>
      <c r="WIQ4" s="1"/>
      <c r="WIR4" s="1"/>
      <c r="WIS4" s="1"/>
      <c r="WIT4" s="1"/>
      <c r="WIU4" s="1"/>
      <c r="WIV4" s="1"/>
      <c r="WIW4" s="1"/>
      <c r="WIX4" s="1"/>
      <c r="WIY4" s="1"/>
      <c r="WIZ4" s="1"/>
      <c r="WJA4" s="1"/>
      <c r="WJB4" s="1"/>
      <c r="WJC4" s="1"/>
      <c r="WJD4" s="1"/>
      <c r="WJE4" s="1"/>
      <c r="WJF4" s="1"/>
      <c r="WJG4" s="1"/>
      <c r="WJH4" s="1"/>
      <c r="WJI4" s="1"/>
      <c r="WJJ4" s="1"/>
      <c r="WJK4" s="1"/>
      <c r="WJL4" s="1"/>
      <c r="WJM4" s="1"/>
      <c r="WJN4" s="1"/>
      <c r="WJO4" s="1"/>
      <c r="WJP4" s="1"/>
      <c r="WJQ4" s="1"/>
      <c r="WJR4" s="1"/>
      <c r="WJS4" s="1"/>
      <c r="WJT4" s="1"/>
      <c r="WJU4" s="1"/>
      <c r="WJV4" s="1"/>
      <c r="WJW4" s="1"/>
      <c r="WJX4" s="1"/>
      <c r="WJY4" s="1"/>
      <c r="WJZ4" s="1"/>
      <c r="WKA4" s="1"/>
      <c r="WKB4" s="1"/>
      <c r="WKC4" s="1"/>
      <c r="WKD4" s="1"/>
      <c r="WKE4" s="1"/>
      <c r="WKF4" s="1"/>
      <c r="WKG4" s="1"/>
      <c r="WKH4" s="1"/>
      <c r="WKI4" s="1"/>
      <c r="WKJ4" s="1"/>
      <c r="WKK4" s="1"/>
      <c r="WKL4" s="1"/>
      <c r="WKM4" s="1"/>
      <c r="WKN4" s="1"/>
      <c r="WKO4" s="1"/>
      <c r="WKP4" s="1"/>
      <c r="WKQ4" s="1"/>
      <c r="WKR4" s="1"/>
      <c r="WKS4" s="1"/>
      <c r="WKT4" s="1"/>
      <c r="WKU4" s="1"/>
      <c r="WKV4" s="1"/>
      <c r="WKW4" s="1"/>
      <c r="WKX4" s="1"/>
      <c r="WKY4" s="1"/>
      <c r="WKZ4" s="1"/>
      <c r="WLA4" s="1"/>
      <c r="WLB4" s="1"/>
      <c r="WLC4" s="1"/>
      <c r="WLD4" s="1"/>
      <c r="WLE4" s="1"/>
      <c r="WLF4" s="1"/>
      <c r="WLG4" s="1"/>
      <c r="WLH4" s="1"/>
      <c r="WLI4" s="1"/>
      <c r="WLJ4" s="1"/>
      <c r="WLK4" s="1"/>
      <c r="WLL4" s="1"/>
      <c r="WLM4" s="1"/>
      <c r="WLN4" s="1"/>
      <c r="WLO4" s="1"/>
      <c r="WLP4" s="1"/>
      <c r="WLQ4" s="1"/>
      <c r="WLR4" s="1"/>
      <c r="WLS4" s="1"/>
      <c r="WLT4" s="1"/>
      <c r="WLU4" s="1"/>
      <c r="WLV4" s="1"/>
      <c r="WLW4" s="1"/>
      <c r="WLX4" s="1"/>
      <c r="WLY4" s="1"/>
      <c r="WLZ4" s="1"/>
      <c r="WMA4" s="1"/>
      <c r="WMB4" s="1"/>
      <c r="WMC4" s="1"/>
      <c r="WMD4" s="1"/>
      <c r="WME4" s="1"/>
      <c r="WMF4" s="1"/>
      <c r="WMG4" s="1"/>
      <c r="WMH4" s="1"/>
      <c r="WMI4" s="1"/>
      <c r="WMJ4" s="1"/>
      <c r="WMK4" s="1"/>
      <c r="WML4" s="1"/>
      <c r="WMM4" s="1"/>
      <c r="WMN4" s="1"/>
      <c r="WMO4" s="1"/>
      <c r="WMP4" s="1"/>
      <c r="WMQ4" s="1"/>
      <c r="WMR4" s="1"/>
      <c r="WMS4" s="1"/>
      <c r="WMT4" s="1"/>
      <c r="WMU4" s="1"/>
      <c r="WMV4" s="1"/>
      <c r="WMW4" s="1"/>
      <c r="WMX4" s="1"/>
      <c r="WMY4" s="1"/>
      <c r="WMZ4" s="1"/>
      <c r="WNA4" s="1"/>
      <c r="WNB4" s="1"/>
      <c r="WNC4" s="1"/>
      <c r="WND4" s="1"/>
      <c r="WNE4" s="1"/>
      <c r="WNF4" s="1"/>
      <c r="WNG4" s="1"/>
      <c r="WNH4" s="1"/>
      <c r="WNI4" s="1"/>
      <c r="WNJ4" s="1"/>
      <c r="WNK4" s="1"/>
      <c r="WNL4" s="1"/>
      <c r="WNM4" s="1"/>
      <c r="WNN4" s="1"/>
      <c r="WNO4" s="1"/>
      <c r="WNP4" s="1"/>
      <c r="WNQ4" s="1"/>
      <c r="WNR4" s="1"/>
      <c r="WNS4" s="1"/>
      <c r="WNT4" s="1"/>
      <c r="WNU4" s="1"/>
      <c r="WNV4" s="1"/>
      <c r="WNW4" s="1"/>
      <c r="WNX4" s="1"/>
      <c r="WNY4" s="1"/>
      <c r="WNZ4" s="1"/>
      <c r="WOA4" s="1"/>
      <c r="WOB4" s="1"/>
      <c r="WOC4" s="1"/>
      <c r="WOD4" s="1"/>
      <c r="WOE4" s="1"/>
      <c r="WOF4" s="1"/>
      <c r="WOG4" s="1"/>
      <c r="WOH4" s="1"/>
      <c r="WOI4" s="1"/>
      <c r="WOJ4" s="1"/>
      <c r="WOK4" s="1"/>
      <c r="WOL4" s="1"/>
      <c r="WOM4" s="1"/>
      <c r="WON4" s="1"/>
      <c r="WOO4" s="1"/>
      <c r="WOP4" s="1"/>
      <c r="WOQ4" s="1"/>
      <c r="WOR4" s="1"/>
      <c r="WOS4" s="1"/>
      <c r="WOT4" s="1"/>
      <c r="WOU4" s="1"/>
      <c r="WOV4" s="1"/>
      <c r="WOW4" s="1"/>
      <c r="WOX4" s="1"/>
      <c r="WOY4" s="1"/>
      <c r="WOZ4" s="1"/>
      <c r="WPA4" s="1"/>
      <c r="WPB4" s="1"/>
      <c r="WPC4" s="1"/>
      <c r="WPD4" s="1"/>
      <c r="WPE4" s="1"/>
      <c r="WPF4" s="1"/>
      <c r="WPG4" s="1"/>
      <c r="WPH4" s="1"/>
      <c r="WPI4" s="1"/>
      <c r="WPJ4" s="1"/>
      <c r="WPK4" s="1"/>
      <c r="WPL4" s="1"/>
      <c r="WPM4" s="1"/>
      <c r="WPN4" s="1"/>
      <c r="WPO4" s="1"/>
      <c r="WPP4" s="1"/>
      <c r="WPQ4" s="1"/>
      <c r="WPR4" s="1"/>
      <c r="WPS4" s="1"/>
      <c r="WPT4" s="1"/>
      <c r="WPU4" s="1"/>
      <c r="WPV4" s="1"/>
      <c r="WPW4" s="1"/>
      <c r="WPX4" s="1"/>
      <c r="WPY4" s="1"/>
      <c r="WPZ4" s="1"/>
      <c r="WQA4" s="1"/>
      <c r="WQB4" s="1"/>
      <c r="WQC4" s="1"/>
      <c r="WQD4" s="1"/>
      <c r="WQE4" s="1"/>
      <c r="WQF4" s="1"/>
      <c r="WQG4" s="1"/>
      <c r="WQH4" s="1"/>
      <c r="WQI4" s="1"/>
      <c r="WQJ4" s="1"/>
      <c r="WQK4" s="1"/>
      <c r="WQL4" s="1"/>
      <c r="WQM4" s="1"/>
      <c r="WQN4" s="1"/>
      <c r="WQO4" s="1"/>
      <c r="WQP4" s="1"/>
      <c r="WQQ4" s="1"/>
      <c r="WQR4" s="1"/>
      <c r="WQS4" s="1"/>
      <c r="WQT4" s="1"/>
      <c r="WQU4" s="1"/>
      <c r="WQV4" s="1"/>
      <c r="WQW4" s="1"/>
      <c r="WQX4" s="1"/>
      <c r="WQY4" s="1"/>
      <c r="WQZ4" s="1"/>
      <c r="WRA4" s="1"/>
      <c r="WRB4" s="1"/>
      <c r="WRC4" s="1"/>
      <c r="WRD4" s="1"/>
      <c r="WRE4" s="1"/>
      <c r="WRF4" s="1"/>
      <c r="WRG4" s="1"/>
      <c r="WRH4" s="1"/>
      <c r="WRI4" s="1"/>
      <c r="WRJ4" s="1"/>
      <c r="WRK4" s="1"/>
      <c r="WRL4" s="1"/>
      <c r="WRM4" s="1"/>
      <c r="WRN4" s="1"/>
      <c r="WRO4" s="1"/>
      <c r="WRP4" s="1"/>
      <c r="WRQ4" s="1"/>
      <c r="WRR4" s="1"/>
      <c r="WRS4" s="1"/>
      <c r="WRT4" s="1"/>
      <c r="WRU4" s="1"/>
      <c r="WRV4" s="1"/>
      <c r="WRW4" s="1"/>
      <c r="WRX4" s="1"/>
      <c r="WRY4" s="1"/>
      <c r="WRZ4" s="1"/>
      <c r="WSA4" s="1"/>
      <c r="WSB4" s="1"/>
      <c r="WSC4" s="1"/>
      <c r="WSD4" s="1"/>
      <c r="WSE4" s="1"/>
      <c r="WSF4" s="1"/>
      <c r="WSG4" s="1"/>
      <c r="WSH4" s="1"/>
      <c r="WSI4" s="1"/>
      <c r="WSJ4" s="1"/>
      <c r="WSK4" s="1"/>
      <c r="WSL4" s="1"/>
      <c r="WSM4" s="1"/>
      <c r="WSN4" s="1"/>
      <c r="WSO4" s="1"/>
      <c r="WSP4" s="1"/>
      <c r="WSQ4" s="1"/>
      <c r="WSR4" s="1"/>
      <c r="WSS4" s="1"/>
      <c r="WST4" s="1"/>
      <c r="WSU4" s="1"/>
      <c r="WSV4" s="1"/>
      <c r="WSW4" s="1"/>
      <c r="WSX4" s="1"/>
      <c r="WSY4" s="1"/>
      <c r="WSZ4" s="1"/>
      <c r="WTA4" s="1"/>
      <c r="WTB4" s="1"/>
      <c r="WTC4" s="1"/>
      <c r="WTD4" s="1"/>
      <c r="WTE4" s="1"/>
      <c r="WTF4" s="1"/>
      <c r="WTG4" s="1"/>
      <c r="WTH4" s="1"/>
      <c r="WTI4" s="1"/>
      <c r="WTJ4" s="1"/>
      <c r="WTK4" s="1"/>
      <c r="WTL4" s="1"/>
      <c r="WTM4" s="1"/>
      <c r="WTN4" s="1"/>
      <c r="WTO4" s="1"/>
      <c r="WTP4" s="1"/>
      <c r="WTQ4" s="1"/>
      <c r="WTR4" s="1"/>
      <c r="WTS4" s="1"/>
      <c r="WTT4" s="1"/>
      <c r="WTU4" s="1"/>
      <c r="WTV4" s="1"/>
      <c r="WTW4" s="1"/>
      <c r="WTX4" s="1"/>
      <c r="WTY4" s="1"/>
      <c r="WTZ4" s="1"/>
      <c r="WUA4" s="1"/>
      <c r="WUB4" s="1"/>
      <c r="WUC4" s="1"/>
      <c r="WUD4" s="1"/>
      <c r="WUE4" s="1"/>
      <c r="WUF4" s="1"/>
      <c r="WUG4" s="1"/>
      <c r="WUH4" s="1"/>
      <c r="WUI4" s="1"/>
      <c r="WUJ4" s="1"/>
      <c r="WUK4" s="1"/>
      <c r="WUL4" s="1"/>
      <c r="WUM4" s="1"/>
      <c r="WUN4" s="1"/>
      <c r="WUO4" s="1"/>
      <c r="WUP4" s="1"/>
      <c r="WUQ4" s="1"/>
      <c r="WUR4" s="1"/>
      <c r="WUS4" s="1"/>
      <c r="WUT4" s="1"/>
      <c r="WUU4" s="1"/>
      <c r="WUV4" s="1"/>
      <c r="WUW4" s="1"/>
      <c r="WUX4" s="1"/>
      <c r="WUY4" s="1"/>
      <c r="WUZ4" s="1"/>
      <c r="WVA4" s="1"/>
      <c r="WVB4" s="1"/>
      <c r="WVC4" s="1"/>
      <c r="WVD4" s="1"/>
      <c r="WVE4" s="1"/>
      <c r="WVF4" s="1"/>
      <c r="WVG4" s="1"/>
      <c r="WVH4" s="1"/>
      <c r="WVI4" s="1"/>
      <c r="WVJ4" s="1"/>
      <c r="WVK4" s="1"/>
      <c r="WVL4" s="1"/>
      <c r="WVM4" s="1"/>
      <c r="WVN4" s="1"/>
      <c r="WVO4" s="1"/>
      <c r="WVP4" s="1"/>
      <c r="WVQ4" s="1"/>
      <c r="WVR4" s="1"/>
      <c r="WVS4" s="1"/>
      <c r="WVT4" s="1"/>
      <c r="WVU4" s="1"/>
      <c r="WVV4" s="1"/>
      <c r="WVW4" s="1"/>
      <c r="WVX4" s="1"/>
      <c r="WVY4" s="1"/>
      <c r="WVZ4" s="1"/>
      <c r="WWA4" s="1"/>
      <c r="WWB4" s="1"/>
      <c r="WWC4" s="1"/>
      <c r="WWD4" s="1"/>
      <c r="WWE4" s="1"/>
      <c r="WWF4" s="1"/>
      <c r="WWG4" s="1"/>
      <c r="WWH4" s="1"/>
      <c r="WWI4" s="1"/>
      <c r="WWJ4" s="1"/>
      <c r="WWK4" s="1"/>
      <c r="WWL4" s="1"/>
      <c r="WWM4" s="1"/>
      <c r="WWN4" s="1"/>
      <c r="WWO4" s="1"/>
      <c r="WWP4" s="1"/>
      <c r="WWQ4" s="1"/>
      <c r="WWR4" s="1"/>
      <c r="WWS4" s="1"/>
      <c r="WWT4" s="1"/>
      <c r="WWU4" s="1"/>
      <c r="WWV4" s="1"/>
      <c r="WWW4" s="1"/>
      <c r="WWX4" s="1"/>
      <c r="WWY4" s="1"/>
      <c r="WWZ4" s="1"/>
      <c r="WXA4" s="1"/>
      <c r="WXB4" s="1"/>
      <c r="WXC4" s="1"/>
      <c r="WXD4" s="1"/>
      <c r="WXE4" s="1"/>
      <c r="WXF4" s="1"/>
      <c r="WXG4" s="1"/>
      <c r="WXH4" s="1"/>
      <c r="WXI4" s="1"/>
      <c r="WXJ4" s="1"/>
      <c r="WXK4" s="1"/>
      <c r="WXL4" s="1"/>
      <c r="WXM4" s="1"/>
      <c r="WXN4" s="1"/>
      <c r="WXO4" s="1"/>
      <c r="WXP4" s="1"/>
      <c r="WXQ4" s="1"/>
      <c r="WXR4" s="1"/>
      <c r="WXS4" s="1"/>
      <c r="WXT4" s="1"/>
      <c r="WXU4" s="1"/>
      <c r="WXV4" s="1"/>
      <c r="WXW4" s="1"/>
      <c r="WXX4" s="1"/>
      <c r="WXY4" s="1"/>
      <c r="WXZ4" s="1"/>
      <c r="WYA4" s="1"/>
      <c r="WYB4" s="1"/>
      <c r="WYC4" s="1"/>
      <c r="WYD4" s="1"/>
      <c r="WYE4" s="1"/>
      <c r="WYF4" s="1"/>
      <c r="WYG4" s="1"/>
      <c r="WYH4" s="1"/>
      <c r="WYI4" s="1"/>
      <c r="WYJ4" s="1"/>
      <c r="WYK4" s="1"/>
      <c r="WYL4" s="1"/>
      <c r="WYM4" s="1"/>
      <c r="WYN4" s="1"/>
      <c r="WYO4" s="1"/>
      <c r="WYP4" s="1"/>
      <c r="WYQ4" s="1"/>
      <c r="WYR4" s="1"/>
      <c r="WYS4" s="1"/>
      <c r="WYT4" s="1"/>
      <c r="WYU4" s="1"/>
      <c r="WYV4" s="1"/>
      <c r="WYW4" s="1"/>
      <c r="WYX4" s="1"/>
      <c r="WYY4" s="1"/>
      <c r="WYZ4" s="1"/>
      <c r="WZA4" s="1"/>
      <c r="WZB4" s="1"/>
      <c r="WZC4" s="1"/>
      <c r="WZD4" s="1"/>
      <c r="WZE4" s="1"/>
      <c r="WZF4" s="1"/>
      <c r="WZG4" s="1"/>
      <c r="WZH4" s="1"/>
      <c r="WZI4" s="1"/>
      <c r="WZJ4" s="1"/>
      <c r="WZK4" s="1"/>
      <c r="WZL4" s="1"/>
      <c r="WZM4" s="1"/>
      <c r="WZN4" s="1"/>
      <c r="WZO4" s="1"/>
      <c r="WZP4" s="1"/>
      <c r="WZQ4" s="1"/>
      <c r="WZR4" s="1"/>
      <c r="WZS4" s="1"/>
      <c r="WZT4" s="1"/>
      <c r="WZU4" s="1"/>
      <c r="WZV4" s="1"/>
      <c r="WZW4" s="1"/>
      <c r="WZX4" s="1"/>
      <c r="WZY4" s="1"/>
      <c r="WZZ4" s="1"/>
      <c r="XAA4" s="1"/>
      <c r="XAB4" s="1"/>
      <c r="XAC4" s="1"/>
      <c r="XAD4" s="1"/>
      <c r="XAE4" s="1"/>
      <c r="XAF4" s="1"/>
      <c r="XAG4" s="1"/>
      <c r="XAH4" s="1"/>
      <c r="XAI4" s="1"/>
      <c r="XAJ4" s="1"/>
      <c r="XAK4" s="1"/>
      <c r="XAL4" s="1"/>
      <c r="XAM4" s="1"/>
      <c r="XAN4" s="1"/>
      <c r="XAO4" s="1"/>
      <c r="XAP4" s="1"/>
      <c r="XAQ4" s="1"/>
      <c r="XAR4" s="1"/>
      <c r="XAS4" s="1"/>
      <c r="XAT4" s="1"/>
      <c r="XAU4" s="1"/>
      <c r="XAV4" s="1"/>
      <c r="XAW4" s="1"/>
      <c r="XAX4" s="1"/>
      <c r="XAY4" s="1"/>
      <c r="XAZ4" s="1"/>
      <c r="XBA4" s="1"/>
      <c r="XBB4" s="1"/>
      <c r="XBC4" s="1"/>
      <c r="XBD4" s="1"/>
      <c r="XBE4" s="1"/>
      <c r="XBF4" s="1"/>
      <c r="XBG4" s="1"/>
      <c r="XBH4" s="1"/>
      <c r="XBI4" s="1"/>
      <c r="XBJ4" s="1"/>
      <c r="XBK4" s="1"/>
      <c r="XBL4" s="1"/>
      <c r="XBM4" s="1"/>
      <c r="XBN4" s="1"/>
      <c r="XBO4" s="1"/>
      <c r="XBP4" s="1"/>
      <c r="XBQ4" s="1"/>
      <c r="XBR4" s="1"/>
      <c r="XBS4" s="1"/>
      <c r="XBT4" s="1"/>
      <c r="XBU4" s="1"/>
      <c r="XBV4" s="1"/>
      <c r="XBW4" s="1"/>
      <c r="XBX4" s="1"/>
      <c r="XBY4" s="1"/>
      <c r="XBZ4" s="1"/>
      <c r="XCA4" s="1"/>
      <c r="XCB4" s="1"/>
      <c r="XCC4" s="1"/>
      <c r="XCD4" s="1"/>
      <c r="XCE4" s="1"/>
      <c r="XCF4" s="1"/>
      <c r="XCG4" s="1"/>
      <c r="XCH4" s="1"/>
      <c r="XCI4" s="1"/>
      <c r="XCJ4" s="1"/>
      <c r="XCK4" s="1"/>
      <c r="XCL4" s="1"/>
      <c r="XCM4" s="1"/>
      <c r="XCN4" s="1"/>
      <c r="XCO4" s="1"/>
      <c r="XCP4" s="1"/>
      <c r="XCQ4" s="1"/>
      <c r="XCR4" s="1"/>
      <c r="XCS4" s="1"/>
      <c r="XCT4" s="1"/>
      <c r="XCU4" s="1"/>
      <c r="XCV4" s="1"/>
      <c r="XCW4" s="1"/>
      <c r="XCX4" s="1"/>
      <c r="XCY4" s="1"/>
      <c r="XCZ4" s="1"/>
      <c r="XDA4" s="1"/>
      <c r="XDB4" s="1"/>
      <c r="XDC4" s="1"/>
      <c r="XDD4" s="1"/>
      <c r="XDE4" s="1"/>
      <c r="XDF4" s="1"/>
      <c r="XDG4" s="1"/>
      <c r="XDH4" s="1"/>
      <c r="XDI4" s="1"/>
      <c r="XDJ4" s="1"/>
      <c r="XDK4" s="1"/>
      <c r="XDL4" s="1"/>
      <c r="XDM4" s="1"/>
      <c r="XDN4" s="1"/>
      <c r="XDO4" s="1"/>
      <c r="XDP4" s="1"/>
      <c r="XDQ4" s="1"/>
      <c r="XDR4" s="1"/>
      <c r="XDS4" s="1"/>
      <c r="XDT4" s="1"/>
      <c r="XDU4" s="1"/>
      <c r="XDV4" s="1"/>
      <c r="XDW4" s="1"/>
      <c r="XDX4" s="1"/>
      <c r="XDY4" s="1"/>
      <c r="XDZ4" s="1"/>
      <c r="XEA4" s="1"/>
      <c r="XEB4" s="1"/>
      <c r="XEC4" s="1"/>
      <c r="XED4" s="1"/>
      <c r="XEE4" s="1"/>
      <c r="XEF4" s="1"/>
      <c r="XEG4" s="1"/>
      <c r="XEH4" s="1"/>
      <c r="XEI4" s="1"/>
      <c r="XEJ4" s="1"/>
      <c r="XEK4" s="1"/>
      <c r="XEL4" s="1"/>
      <c r="XEM4" s="1"/>
      <c r="XEN4" s="1"/>
      <c r="XEO4" s="1"/>
      <c r="XEP4" s="1"/>
      <c r="XEQ4" s="1"/>
      <c r="XER4" s="1"/>
      <c r="XES4" s="1"/>
      <c r="XET4" s="1"/>
      <c r="XEU4" s="1"/>
      <c r="XEV4" s="1"/>
      <c r="XEW4" s="1"/>
      <c r="XEX4" s="1"/>
      <c r="XEY4" s="1"/>
      <c r="XEZ4" s="1"/>
      <c r="XFA4" s="1"/>
    </row>
    <row r="5" spans="1:16381" ht="13" customHeight="1" x14ac:dyDescent="0.2">
      <c r="A5" s="5" t="s">
        <v>1630</v>
      </c>
    </row>
    <row r="6" spans="1:16381" ht="13" customHeight="1" x14ac:dyDescent="0.2">
      <c r="A6" s="5" t="s">
        <v>1775</v>
      </c>
    </row>
    <row r="7" spans="1:16381" ht="13" customHeight="1" x14ac:dyDescent="0.2">
      <c r="A7" s="5" t="s">
        <v>1</v>
      </c>
    </row>
    <row r="8" spans="1:16381" ht="13" customHeight="1" x14ac:dyDescent="0.2">
      <c r="A8" s="5" t="s">
        <v>2</v>
      </c>
    </row>
    <row r="9" spans="1:16381" ht="13" customHeight="1" x14ac:dyDescent="0.2">
      <c r="A9" s="17"/>
      <c r="B9" s="17"/>
      <c r="C9" s="17"/>
      <c r="D9" s="17"/>
      <c r="E9" s="17"/>
      <c r="F9" s="84"/>
      <c r="G9" s="17"/>
      <c r="H9" s="62"/>
      <c r="I9" s="84"/>
      <c r="J9" s="84"/>
      <c r="K9" s="84"/>
      <c r="L9" s="84"/>
      <c r="M9" s="94"/>
      <c r="N9" s="62"/>
    </row>
    <row r="10" spans="1:16381" ht="26" customHeight="1" x14ac:dyDescent="0.2">
      <c r="A10" s="20" t="s">
        <v>962</v>
      </c>
      <c r="B10" s="20" t="s">
        <v>3</v>
      </c>
      <c r="C10" s="20" t="s">
        <v>4</v>
      </c>
      <c r="D10" s="20" t="s">
        <v>5</v>
      </c>
      <c r="E10" s="20" t="s">
        <v>6</v>
      </c>
      <c r="F10" s="21" t="s">
        <v>1776</v>
      </c>
      <c r="G10" s="20" t="s">
        <v>7</v>
      </c>
      <c r="H10" s="20" t="s">
        <v>8</v>
      </c>
      <c r="I10" s="21" t="s">
        <v>9</v>
      </c>
      <c r="J10" s="21" t="s">
        <v>10</v>
      </c>
      <c r="K10" s="21" t="s">
        <v>11</v>
      </c>
      <c r="L10" s="21" t="s">
        <v>12</v>
      </c>
      <c r="M10" s="77" t="s">
        <v>13</v>
      </c>
      <c r="N10" s="20" t="s">
        <v>14</v>
      </c>
    </row>
    <row r="11" spans="1:16381" ht="25" customHeight="1" x14ac:dyDescent="0.2">
      <c r="A11" s="6" t="s">
        <v>15</v>
      </c>
      <c r="B11" s="7"/>
      <c r="C11" s="7"/>
      <c r="D11" s="7"/>
      <c r="E11" s="7"/>
      <c r="F11" s="8"/>
      <c r="G11" s="7"/>
      <c r="H11" s="7"/>
      <c r="I11" s="8"/>
      <c r="J11" s="8"/>
      <c r="K11" s="8"/>
      <c r="L11" s="8"/>
      <c r="M11" s="78"/>
      <c r="N11" s="7"/>
    </row>
    <row r="12" spans="1:16381" x14ac:dyDescent="0.2">
      <c r="A12" s="1" t="s">
        <v>16</v>
      </c>
      <c r="B12" s="1" t="s">
        <v>17</v>
      </c>
      <c r="C12" s="1" t="s">
        <v>18</v>
      </c>
      <c r="D12" s="9">
        <v>64.650000000000006</v>
      </c>
      <c r="E12" s="9">
        <v>-128.08333300000001</v>
      </c>
      <c r="F12" s="2">
        <v>1360</v>
      </c>
      <c r="G12" s="1" t="s">
        <v>19</v>
      </c>
      <c r="H12" s="49" t="s">
        <v>20</v>
      </c>
      <c r="I12" s="2">
        <v>13192</v>
      </c>
      <c r="J12" s="2">
        <v>0</v>
      </c>
      <c r="K12" s="2">
        <v>235.571</v>
      </c>
      <c r="L12" s="1">
        <v>1</v>
      </c>
      <c r="M12" s="76">
        <v>-1.8977987200107</v>
      </c>
      <c r="N12" s="49" t="s">
        <v>21</v>
      </c>
    </row>
    <row r="13" spans="1:16381" x14ac:dyDescent="0.2">
      <c r="A13" s="1" t="s">
        <v>22</v>
      </c>
      <c r="B13" s="1" t="s">
        <v>23</v>
      </c>
      <c r="C13" s="1" t="s">
        <v>18</v>
      </c>
      <c r="D13" s="9">
        <v>65.016666999999998</v>
      </c>
      <c r="E13" s="9">
        <v>-127.483333</v>
      </c>
      <c r="F13" s="2">
        <v>580</v>
      </c>
      <c r="G13" s="1" t="s">
        <v>19</v>
      </c>
      <c r="H13" s="49" t="s">
        <v>20</v>
      </c>
      <c r="I13" s="2">
        <v>13299</v>
      </c>
      <c r="J13" s="2">
        <v>0</v>
      </c>
      <c r="K13" s="2">
        <v>255.75</v>
      </c>
      <c r="L13" s="1">
        <v>3</v>
      </c>
      <c r="M13" s="76">
        <v>-1.6396825088043201</v>
      </c>
      <c r="N13" s="49" t="s">
        <v>21</v>
      </c>
    </row>
    <row r="14" spans="1:16381" x14ac:dyDescent="0.2">
      <c r="A14" s="1" t="s">
        <v>24</v>
      </c>
      <c r="B14" s="1" t="s">
        <v>25</v>
      </c>
      <c r="C14" s="1" t="s">
        <v>26</v>
      </c>
      <c r="D14" s="9">
        <v>61.68</v>
      </c>
      <c r="E14" s="9">
        <v>-130.65</v>
      </c>
      <c r="F14" s="2">
        <v>1040</v>
      </c>
      <c r="G14" s="1" t="s">
        <v>19</v>
      </c>
      <c r="H14" s="49" t="s">
        <v>20</v>
      </c>
      <c r="I14" s="2">
        <v>12567</v>
      </c>
      <c r="J14" s="2">
        <v>352</v>
      </c>
      <c r="K14" s="2">
        <v>222.09100000000001</v>
      </c>
      <c r="L14" s="1">
        <v>2</v>
      </c>
      <c r="M14" s="76">
        <v>-2.9261621864572498E-2</v>
      </c>
      <c r="N14" s="49" t="s">
        <v>27</v>
      </c>
    </row>
    <row r="15" spans="1:16381" x14ac:dyDescent="0.2">
      <c r="A15" s="1" t="s">
        <v>28</v>
      </c>
      <c r="B15" s="1" t="s">
        <v>29</v>
      </c>
      <c r="C15" s="1" t="s">
        <v>30</v>
      </c>
      <c r="D15" s="9">
        <v>64.42</v>
      </c>
      <c r="E15" s="9">
        <v>-149.9</v>
      </c>
      <c r="F15" s="2">
        <v>134</v>
      </c>
      <c r="G15" s="1" t="s">
        <v>19</v>
      </c>
      <c r="H15" s="49" t="s">
        <v>1772</v>
      </c>
      <c r="I15" s="2">
        <v>11326.364</v>
      </c>
      <c r="J15" s="2">
        <v>-42.503</v>
      </c>
      <c r="K15" s="2">
        <v>31.154</v>
      </c>
      <c r="L15" s="1">
        <v>4</v>
      </c>
      <c r="M15" s="76">
        <v>2.5323427610658902</v>
      </c>
      <c r="N15" s="49" t="s">
        <v>32</v>
      </c>
    </row>
    <row r="16" spans="1:16381" x14ac:dyDescent="0.2">
      <c r="A16" s="1" t="s">
        <v>33</v>
      </c>
      <c r="B16" s="1" t="s">
        <v>34</v>
      </c>
      <c r="C16" s="1" t="s">
        <v>30</v>
      </c>
      <c r="D16" s="9">
        <v>62.55</v>
      </c>
      <c r="E16" s="9">
        <v>-153.63</v>
      </c>
      <c r="F16" s="2">
        <v>230</v>
      </c>
      <c r="G16" s="1" t="s">
        <v>19</v>
      </c>
      <c r="H16" s="49" t="s">
        <v>35</v>
      </c>
      <c r="I16" s="2">
        <v>12517.307776</v>
      </c>
      <c r="J16" s="2">
        <v>-49.971080100000002</v>
      </c>
      <c r="K16" s="2">
        <v>241.678</v>
      </c>
      <c r="L16" s="1">
        <v>3</v>
      </c>
      <c r="M16" s="76">
        <v>0.85114660106163498</v>
      </c>
      <c r="N16" s="49" t="s">
        <v>36</v>
      </c>
    </row>
    <row r="17" spans="1:14" ht="31" x14ac:dyDescent="0.2">
      <c r="A17" s="1" t="s">
        <v>37</v>
      </c>
      <c r="B17" s="1" t="s">
        <v>38</v>
      </c>
      <c r="C17" s="1" t="s">
        <v>39</v>
      </c>
      <c r="D17" s="9">
        <v>72.16</v>
      </c>
      <c r="E17" s="9">
        <v>-155.51</v>
      </c>
      <c r="F17" s="2">
        <v>-369</v>
      </c>
      <c r="G17" s="1" t="s">
        <v>40</v>
      </c>
      <c r="H17" s="49" t="s">
        <v>1601</v>
      </c>
      <c r="I17" s="2">
        <v>6660</v>
      </c>
      <c r="J17" s="2">
        <v>52</v>
      </c>
      <c r="K17" s="2">
        <v>75.953999999999994</v>
      </c>
      <c r="L17" s="2">
        <v>4</v>
      </c>
      <c r="M17" s="76">
        <v>4.3505958754224903</v>
      </c>
      <c r="N17" s="49" t="s">
        <v>41</v>
      </c>
    </row>
    <row r="18" spans="1:14" x14ac:dyDescent="0.2">
      <c r="A18" s="1" t="s">
        <v>42</v>
      </c>
      <c r="B18" s="1" t="s">
        <v>43</v>
      </c>
      <c r="C18" s="1" t="s">
        <v>44</v>
      </c>
      <c r="D18" s="9">
        <v>61.4</v>
      </c>
      <c r="E18" s="9">
        <v>-145.69999999999999</v>
      </c>
      <c r="F18" s="2">
        <v>1015</v>
      </c>
      <c r="G18" s="1" t="s">
        <v>19</v>
      </c>
      <c r="H18" s="49" t="s">
        <v>45</v>
      </c>
      <c r="I18" s="2">
        <v>18127</v>
      </c>
      <c r="J18" s="2">
        <v>-29</v>
      </c>
      <c r="K18" s="2">
        <v>162.107</v>
      </c>
      <c r="L18" s="1">
        <v>4</v>
      </c>
      <c r="M18" s="76">
        <v>0.59333372478346302</v>
      </c>
      <c r="N18" s="49" t="s">
        <v>1631</v>
      </c>
    </row>
    <row r="19" spans="1:14" x14ac:dyDescent="0.2">
      <c r="A19" s="1" t="s">
        <v>46</v>
      </c>
      <c r="B19" s="1" t="s">
        <v>47</v>
      </c>
      <c r="C19" s="1" t="s">
        <v>26</v>
      </c>
      <c r="D19" s="9">
        <v>60.033332999999999</v>
      </c>
      <c r="E19" s="9">
        <v>-129.01666700000001</v>
      </c>
      <c r="F19" s="2">
        <v>690</v>
      </c>
      <c r="G19" s="1" t="s">
        <v>19</v>
      </c>
      <c r="H19" s="49" t="s">
        <v>20</v>
      </c>
      <c r="I19" s="10">
        <v>11334</v>
      </c>
      <c r="J19" s="10">
        <v>67</v>
      </c>
      <c r="K19" s="10">
        <v>135.74700000000001</v>
      </c>
      <c r="L19" s="2">
        <v>4</v>
      </c>
      <c r="M19" s="76">
        <v>1.1576505512272199</v>
      </c>
      <c r="N19" s="49" t="s">
        <v>1632</v>
      </c>
    </row>
    <row r="20" spans="1:14" x14ac:dyDescent="0.2">
      <c r="A20" s="1" t="s">
        <v>48</v>
      </c>
      <c r="B20" s="1" t="s">
        <v>49</v>
      </c>
      <c r="C20" s="1" t="s">
        <v>44</v>
      </c>
      <c r="D20" s="9">
        <v>61.5</v>
      </c>
      <c r="E20" s="9">
        <v>-146.19999999999999</v>
      </c>
      <c r="F20" s="2">
        <v>1128</v>
      </c>
      <c r="G20" s="1" t="s">
        <v>19</v>
      </c>
      <c r="H20" s="49" t="s">
        <v>1602</v>
      </c>
      <c r="I20" s="2">
        <v>7913</v>
      </c>
      <c r="J20" s="2">
        <v>-52</v>
      </c>
      <c r="K20" s="2">
        <v>34.951999999999998</v>
      </c>
      <c r="L20" s="1">
        <v>4</v>
      </c>
      <c r="M20" s="76">
        <v>4.6069742253720598</v>
      </c>
      <c r="N20" s="49" t="s">
        <v>1631</v>
      </c>
    </row>
    <row r="21" spans="1:14" x14ac:dyDescent="0.2">
      <c r="A21" s="1" t="s">
        <v>50</v>
      </c>
      <c r="B21" s="1" t="s">
        <v>51</v>
      </c>
      <c r="C21" s="1" t="s">
        <v>39</v>
      </c>
      <c r="D21" s="9">
        <v>72.694666666666706</v>
      </c>
      <c r="E21" s="9">
        <v>-157.52000000000001</v>
      </c>
      <c r="F21" s="2">
        <v>-415</v>
      </c>
      <c r="G21" s="1" t="s">
        <v>40</v>
      </c>
      <c r="H21" s="49" t="s">
        <v>52</v>
      </c>
      <c r="I21" s="2">
        <v>8209.4</v>
      </c>
      <c r="J21" s="2">
        <v>225.35</v>
      </c>
      <c r="K21" s="2">
        <v>115.711</v>
      </c>
      <c r="L21" s="1">
        <v>2</v>
      </c>
      <c r="M21" s="76">
        <v>1.3434541906900701</v>
      </c>
      <c r="N21" s="56" t="s">
        <v>1327</v>
      </c>
    </row>
    <row r="22" spans="1:14" x14ac:dyDescent="0.2">
      <c r="A22" s="1" t="s">
        <v>54</v>
      </c>
      <c r="B22" s="1" t="s">
        <v>55</v>
      </c>
      <c r="C22" s="1" t="s">
        <v>26</v>
      </c>
      <c r="D22" s="9">
        <v>64.633332999999993</v>
      </c>
      <c r="E22" s="9">
        <v>-138.4</v>
      </c>
      <c r="F22" s="2">
        <v>1160</v>
      </c>
      <c r="G22" s="1" t="s">
        <v>19</v>
      </c>
      <c r="H22" s="49" t="s">
        <v>20</v>
      </c>
      <c r="I22" s="2">
        <v>10795</v>
      </c>
      <c r="J22" s="2">
        <v>17</v>
      </c>
      <c r="K22" s="2">
        <v>153.971</v>
      </c>
      <c r="L22" s="1">
        <v>2</v>
      </c>
      <c r="M22" s="76">
        <v>-0.36361669569052302</v>
      </c>
      <c r="N22" s="49" t="s">
        <v>56</v>
      </c>
    </row>
    <row r="23" spans="1:14" x14ac:dyDescent="0.2">
      <c r="A23" s="1" t="s">
        <v>57</v>
      </c>
      <c r="B23" s="1" t="s">
        <v>58</v>
      </c>
      <c r="C23" s="1" t="s">
        <v>44</v>
      </c>
      <c r="D23" s="9">
        <f>61+54/60</f>
        <v>61.9</v>
      </c>
      <c r="E23" s="9">
        <f>-(145+40/60)</f>
        <v>-145.66666666666666</v>
      </c>
      <c r="F23" s="2">
        <v>657</v>
      </c>
      <c r="G23" s="1" t="s">
        <v>19</v>
      </c>
      <c r="H23" s="49" t="s">
        <v>59</v>
      </c>
      <c r="I23" s="2">
        <v>9574</v>
      </c>
      <c r="J23" s="2">
        <v>-27.941690000000001</v>
      </c>
      <c r="K23" s="2">
        <v>117.09699999999999</v>
      </c>
      <c r="L23" s="1">
        <v>4</v>
      </c>
      <c r="M23" s="76">
        <v>3.3313483704946698</v>
      </c>
      <c r="N23" s="49" t="s">
        <v>60</v>
      </c>
    </row>
    <row r="24" spans="1:14" x14ac:dyDescent="0.2">
      <c r="A24" s="1" t="s">
        <v>61</v>
      </c>
      <c r="B24" s="1" t="s">
        <v>62</v>
      </c>
      <c r="C24" s="1" t="s">
        <v>26</v>
      </c>
      <c r="D24" s="9">
        <v>60.35</v>
      </c>
      <c r="E24" s="9">
        <v>-134.80000000000001</v>
      </c>
      <c r="F24" s="2">
        <v>730</v>
      </c>
      <c r="G24" s="1" t="s">
        <v>19</v>
      </c>
      <c r="H24" s="49" t="s">
        <v>63</v>
      </c>
      <c r="I24" s="2">
        <v>7556</v>
      </c>
      <c r="J24" s="2">
        <v>-52</v>
      </c>
      <c r="K24" s="2">
        <v>21.861999999999998</v>
      </c>
      <c r="L24" s="1">
        <v>4</v>
      </c>
      <c r="M24" s="76">
        <v>4.0111893218808197</v>
      </c>
      <c r="N24" s="49" t="s">
        <v>64</v>
      </c>
    </row>
    <row r="25" spans="1:14" x14ac:dyDescent="0.2">
      <c r="A25" s="1" t="s">
        <v>65</v>
      </c>
      <c r="B25" s="1" t="s">
        <v>66</v>
      </c>
      <c r="C25" s="1" t="s">
        <v>67</v>
      </c>
      <c r="D25" s="9">
        <v>60.274999999999999</v>
      </c>
      <c r="E25" s="9">
        <v>-136.18199999999999</v>
      </c>
      <c r="F25" s="2">
        <v>671</v>
      </c>
      <c r="G25" s="1" t="s">
        <v>19</v>
      </c>
      <c r="H25" s="49" t="s">
        <v>68</v>
      </c>
      <c r="I25" s="2">
        <v>12298.4</v>
      </c>
      <c r="J25" s="2">
        <v>76.540000000000006</v>
      </c>
      <c r="K25" s="2">
        <v>86.68</v>
      </c>
      <c r="L25" s="1">
        <v>4</v>
      </c>
      <c r="M25" s="76">
        <v>1.55969073149404</v>
      </c>
      <c r="N25" s="49" t="s">
        <v>69</v>
      </c>
    </row>
    <row r="26" spans="1:14" x14ac:dyDescent="0.2">
      <c r="A26" s="1" t="s">
        <v>70</v>
      </c>
      <c r="B26" s="1" t="s">
        <v>71</v>
      </c>
      <c r="C26" s="1" t="s">
        <v>72</v>
      </c>
      <c r="D26" s="9">
        <v>59.2</v>
      </c>
      <c r="E26" s="9">
        <v>-135.4</v>
      </c>
      <c r="F26" s="2">
        <v>230</v>
      </c>
      <c r="G26" s="1" t="s">
        <v>19</v>
      </c>
      <c r="H26" s="49" t="s">
        <v>20</v>
      </c>
      <c r="I26" s="2">
        <v>12740</v>
      </c>
      <c r="J26" s="2">
        <v>54</v>
      </c>
      <c r="K26" s="2">
        <v>207.96700000000001</v>
      </c>
      <c r="L26" s="1">
        <v>1</v>
      </c>
      <c r="M26" s="76">
        <v>-1.32995328898181</v>
      </c>
      <c r="N26" s="49" t="s">
        <v>73</v>
      </c>
    </row>
    <row r="27" spans="1:14" x14ac:dyDescent="0.2">
      <c r="A27" s="1" t="s">
        <v>74</v>
      </c>
      <c r="B27" s="1" t="s">
        <v>75</v>
      </c>
      <c r="C27" s="1" t="s">
        <v>26</v>
      </c>
      <c r="D27" s="9">
        <v>60.58</v>
      </c>
      <c r="E27" s="9">
        <v>-140.5</v>
      </c>
      <c r="F27" s="2">
        <v>5300</v>
      </c>
      <c r="G27" s="1" t="s">
        <v>76</v>
      </c>
      <c r="H27" s="49" t="s">
        <v>77</v>
      </c>
      <c r="I27" s="2">
        <v>12950</v>
      </c>
      <c r="J27" s="2">
        <v>-40</v>
      </c>
      <c r="K27" s="2">
        <v>10</v>
      </c>
      <c r="L27" s="2" t="s">
        <v>78</v>
      </c>
      <c r="M27" s="76" t="s">
        <v>78</v>
      </c>
      <c r="N27" s="49" t="s">
        <v>79</v>
      </c>
    </row>
    <row r="28" spans="1:14" x14ac:dyDescent="0.2">
      <c r="A28" s="1" t="s">
        <v>80</v>
      </c>
      <c r="B28" s="1" t="s">
        <v>81</v>
      </c>
      <c r="C28" s="1" t="s">
        <v>82</v>
      </c>
      <c r="D28" s="9">
        <v>60.006999999999998</v>
      </c>
      <c r="E28" s="9">
        <v>-159.143</v>
      </c>
      <c r="F28" s="2">
        <v>135</v>
      </c>
      <c r="G28" s="1" t="s">
        <v>19</v>
      </c>
      <c r="H28" s="49" t="s">
        <v>68</v>
      </c>
      <c r="I28" s="2">
        <v>14523.660556250001</v>
      </c>
      <c r="J28" s="2">
        <v>-4.6229038828579103</v>
      </c>
      <c r="K28" s="2">
        <v>40.356000000000002</v>
      </c>
      <c r="L28" s="1">
        <v>4</v>
      </c>
      <c r="M28" s="76">
        <v>3.4220367977196902</v>
      </c>
      <c r="N28" s="49" t="s">
        <v>83</v>
      </c>
    </row>
    <row r="29" spans="1:14" x14ac:dyDescent="0.2">
      <c r="A29" s="1" t="s">
        <v>87</v>
      </c>
      <c r="B29" s="1" t="s">
        <v>88</v>
      </c>
      <c r="C29" s="1" t="s">
        <v>18</v>
      </c>
      <c r="D29" s="9">
        <v>65.216667000000001</v>
      </c>
      <c r="E29" s="9">
        <v>-126.11666700000001</v>
      </c>
      <c r="F29" s="2">
        <v>650</v>
      </c>
      <c r="G29" s="1" t="s">
        <v>19</v>
      </c>
      <c r="H29" s="49" t="s">
        <v>20</v>
      </c>
      <c r="I29" s="10">
        <v>13699</v>
      </c>
      <c r="J29" s="10">
        <v>-32</v>
      </c>
      <c r="K29" s="10">
        <v>298.5</v>
      </c>
      <c r="L29" s="1">
        <v>1</v>
      </c>
      <c r="M29" s="76">
        <v>-3.1161749232154601</v>
      </c>
      <c r="N29" s="49" t="s">
        <v>1097</v>
      </c>
    </row>
    <row r="30" spans="1:14" x14ac:dyDescent="0.2">
      <c r="A30" s="1" t="s">
        <v>84</v>
      </c>
      <c r="B30" s="1" t="s">
        <v>85</v>
      </c>
      <c r="C30" s="1" t="s">
        <v>44</v>
      </c>
      <c r="D30" s="9">
        <f>60+57/60</f>
        <v>60.95</v>
      </c>
      <c r="E30" s="9">
        <v>-148.15</v>
      </c>
      <c r="F30" s="2">
        <v>3</v>
      </c>
      <c r="G30" s="1" t="s">
        <v>19</v>
      </c>
      <c r="H30" s="49" t="s">
        <v>86</v>
      </c>
      <c r="I30" s="2">
        <v>9504</v>
      </c>
      <c r="J30" s="2">
        <v>-44</v>
      </c>
      <c r="K30" s="2">
        <v>212.178</v>
      </c>
      <c r="L30" s="1">
        <v>4</v>
      </c>
      <c r="M30" s="76">
        <v>3.2825473743039102</v>
      </c>
      <c r="N30" s="49" t="s">
        <v>1080</v>
      </c>
    </row>
    <row r="31" spans="1:14" x14ac:dyDescent="0.2">
      <c r="A31" s="1" t="s">
        <v>89</v>
      </c>
      <c r="B31" s="1" t="s">
        <v>90</v>
      </c>
      <c r="C31" s="1" t="s">
        <v>44</v>
      </c>
      <c r="D31" s="9">
        <v>61.374000000000002</v>
      </c>
      <c r="E31" s="9">
        <v>-143.59882999999999</v>
      </c>
      <c r="F31" s="2">
        <v>437</v>
      </c>
      <c r="G31" s="1" t="s">
        <v>19</v>
      </c>
      <c r="H31" s="49" t="s">
        <v>59</v>
      </c>
      <c r="I31" s="2">
        <v>6007.6639999999998</v>
      </c>
      <c r="J31" s="2">
        <v>-20.034829999999999</v>
      </c>
      <c r="K31" s="2">
        <v>47.462000000000003</v>
      </c>
      <c r="L31" s="1">
        <v>4</v>
      </c>
      <c r="M31" s="76">
        <v>3.7473232371997498</v>
      </c>
      <c r="N31" s="49" t="s">
        <v>91</v>
      </c>
    </row>
    <row r="32" spans="1:14" x14ac:dyDescent="0.2">
      <c r="A32" s="1" t="s">
        <v>92</v>
      </c>
      <c r="B32" s="1" t="s">
        <v>93</v>
      </c>
      <c r="C32" s="1" t="s">
        <v>39</v>
      </c>
      <c r="D32" s="9">
        <v>73.683000000000007</v>
      </c>
      <c r="E32" s="9">
        <v>-162.66</v>
      </c>
      <c r="F32" s="2">
        <v>-201</v>
      </c>
      <c r="G32" s="1" t="s">
        <v>40</v>
      </c>
      <c r="H32" s="49" t="s">
        <v>1603</v>
      </c>
      <c r="I32" s="10">
        <v>9626</v>
      </c>
      <c r="J32" s="10">
        <v>125.61</v>
      </c>
      <c r="K32" s="10">
        <v>144.91</v>
      </c>
      <c r="L32" s="2">
        <v>2</v>
      </c>
      <c r="M32" s="76">
        <v>0.66229951476959403</v>
      </c>
      <c r="N32" s="49" t="s">
        <v>94</v>
      </c>
    </row>
    <row r="33" spans="1:14" x14ac:dyDescent="0.2">
      <c r="A33" s="1" t="s">
        <v>95</v>
      </c>
      <c r="B33" s="1" t="s">
        <v>96</v>
      </c>
      <c r="C33" s="1" t="s">
        <v>30</v>
      </c>
      <c r="D33" s="9">
        <v>64.206000000000003</v>
      </c>
      <c r="E33" s="9">
        <v>-145.81399999999999</v>
      </c>
      <c r="F33" s="2">
        <v>293</v>
      </c>
      <c r="G33" s="1" t="s">
        <v>19</v>
      </c>
      <c r="H33" s="49" t="s">
        <v>59</v>
      </c>
      <c r="I33" s="2">
        <v>10949</v>
      </c>
      <c r="J33" s="2">
        <v>777</v>
      </c>
      <c r="K33" s="2">
        <v>211.917</v>
      </c>
      <c r="L33" s="1">
        <v>3</v>
      </c>
      <c r="M33" s="76">
        <v>1.4644996451219501</v>
      </c>
      <c r="N33" s="49" t="s">
        <v>1096</v>
      </c>
    </row>
    <row r="34" spans="1:14" x14ac:dyDescent="0.2">
      <c r="A34" s="1" t="s">
        <v>97</v>
      </c>
      <c r="B34" s="1" t="s">
        <v>98</v>
      </c>
      <c r="C34" s="1" t="s">
        <v>44</v>
      </c>
      <c r="D34" s="9">
        <f>60+43/60</f>
        <v>60.716666666666669</v>
      </c>
      <c r="E34" s="9">
        <f>-(150+48/60)</f>
        <v>-150.80000000000001</v>
      </c>
      <c r="F34" s="2">
        <v>63</v>
      </c>
      <c r="G34" s="1" t="s">
        <v>19</v>
      </c>
      <c r="H34" s="49" t="s">
        <v>59</v>
      </c>
      <c r="I34" s="2">
        <v>13505.5442728208</v>
      </c>
      <c r="J34" s="2">
        <v>-54</v>
      </c>
      <c r="K34" s="2">
        <v>301.32299999999998</v>
      </c>
      <c r="L34" s="1">
        <v>4</v>
      </c>
      <c r="M34" s="76">
        <v>2.6450425040360601</v>
      </c>
      <c r="N34" s="49" t="s">
        <v>60</v>
      </c>
    </row>
    <row r="35" spans="1:14" x14ac:dyDescent="0.2">
      <c r="A35" s="1" t="s">
        <v>99</v>
      </c>
      <c r="B35" s="1" t="s">
        <v>100</v>
      </c>
      <c r="C35" s="1" t="s">
        <v>72</v>
      </c>
      <c r="D35" s="9">
        <v>67.147221999999999</v>
      </c>
      <c r="E35" s="9">
        <v>-153.65</v>
      </c>
      <c r="F35" s="2">
        <v>820</v>
      </c>
      <c r="G35" s="1" t="s">
        <v>19</v>
      </c>
      <c r="H35" s="49" t="s">
        <v>20</v>
      </c>
      <c r="I35" s="10">
        <v>35525</v>
      </c>
      <c r="J35" s="10">
        <v>0</v>
      </c>
      <c r="K35" s="10">
        <v>368.6</v>
      </c>
      <c r="L35" s="1">
        <v>1</v>
      </c>
      <c r="M35" s="76">
        <v>-1.06613154673063</v>
      </c>
      <c r="N35" s="49" t="s">
        <v>101</v>
      </c>
    </row>
    <row r="36" spans="1:14" x14ac:dyDescent="0.2">
      <c r="A36" s="1" t="s">
        <v>102</v>
      </c>
      <c r="B36" s="1" t="s">
        <v>103</v>
      </c>
      <c r="C36" s="1" t="s">
        <v>72</v>
      </c>
      <c r="D36" s="9">
        <f>66+4/60</f>
        <v>66.066666666666663</v>
      </c>
      <c r="E36" s="9">
        <f>-(145+24/60)</f>
        <v>-145.4</v>
      </c>
      <c r="F36" s="2">
        <v>223</v>
      </c>
      <c r="G36" s="1" t="s">
        <v>19</v>
      </c>
      <c r="H36" s="49" t="s">
        <v>59</v>
      </c>
      <c r="I36" s="2">
        <v>10611</v>
      </c>
      <c r="J36" s="2">
        <v>-43</v>
      </c>
      <c r="K36" s="2">
        <v>71.503</v>
      </c>
      <c r="L36" s="1">
        <v>4</v>
      </c>
      <c r="M36" s="76">
        <v>2.2571481657653498</v>
      </c>
      <c r="N36" s="49" t="s">
        <v>60</v>
      </c>
    </row>
    <row r="37" spans="1:14" x14ac:dyDescent="0.2">
      <c r="A37" s="1" t="s">
        <v>104</v>
      </c>
      <c r="B37" s="1" t="s">
        <v>105</v>
      </c>
      <c r="C37" s="1" t="s">
        <v>72</v>
      </c>
      <c r="D37" s="9">
        <f>67+21/60</f>
        <v>67.349999999999994</v>
      </c>
      <c r="E37" s="9">
        <v>-153.666666666667</v>
      </c>
      <c r="F37" s="2">
        <v>275</v>
      </c>
      <c r="G37" s="1" t="s">
        <v>19</v>
      </c>
      <c r="H37" s="49" t="s">
        <v>63</v>
      </c>
      <c r="I37" s="2">
        <v>8132</v>
      </c>
      <c r="J37" s="2">
        <v>-50.5</v>
      </c>
      <c r="K37" s="2">
        <v>65.459999999999994</v>
      </c>
      <c r="L37" s="1">
        <v>4</v>
      </c>
      <c r="M37" s="76">
        <v>2.8891494241278899</v>
      </c>
      <c r="N37" s="49" t="s">
        <v>106</v>
      </c>
    </row>
    <row r="38" spans="1:14" x14ac:dyDescent="0.2">
      <c r="A38" s="1" t="s">
        <v>107</v>
      </c>
      <c r="B38" s="1" t="s">
        <v>108</v>
      </c>
      <c r="C38" s="1" t="s">
        <v>109</v>
      </c>
      <c r="D38" s="9">
        <v>68.828000000000003</v>
      </c>
      <c r="E38" s="9">
        <v>-138.75</v>
      </c>
      <c r="F38" s="2">
        <v>150</v>
      </c>
      <c r="G38" s="1" t="s">
        <v>19</v>
      </c>
      <c r="H38" s="49" t="s">
        <v>1604</v>
      </c>
      <c r="I38" s="2">
        <v>15424.5</v>
      </c>
      <c r="J38" s="2">
        <v>1783.99</v>
      </c>
      <c r="K38" s="2">
        <v>206.67400000000001</v>
      </c>
      <c r="L38" s="1">
        <v>3</v>
      </c>
      <c r="M38" s="76">
        <v>-0.64336068529315005</v>
      </c>
      <c r="N38" s="49" t="s">
        <v>110</v>
      </c>
    </row>
    <row r="39" spans="1:14" x14ac:dyDescent="0.2">
      <c r="A39" s="1" t="s">
        <v>111</v>
      </c>
      <c r="B39" s="1" t="s">
        <v>112</v>
      </c>
      <c r="C39" s="1" t="s">
        <v>113</v>
      </c>
      <c r="D39" s="9">
        <v>61.07</v>
      </c>
      <c r="E39" s="9">
        <v>-138.09</v>
      </c>
      <c r="F39" s="2">
        <v>1326</v>
      </c>
      <c r="G39" s="1" t="s">
        <v>19</v>
      </c>
      <c r="H39" s="49" t="s">
        <v>20</v>
      </c>
      <c r="I39" s="2">
        <v>13416.7921503528</v>
      </c>
      <c r="J39" s="2">
        <v>0</v>
      </c>
      <c r="K39" s="2">
        <v>206.41200000000001</v>
      </c>
      <c r="L39" s="1">
        <v>4</v>
      </c>
      <c r="M39" s="76">
        <v>-0.34823167104652297</v>
      </c>
      <c r="N39" s="49" t="s">
        <v>114</v>
      </c>
    </row>
    <row r="40" spans="1:14" x14ac:dyDescent="0.2">
      <c r="A40" s="1" t="s">
        <v>115</v>
      </c>
      <c r="B40" s="1" t="s">
        <v>116</v>
      </c>
      <c r="C40" s="1" t="s">
        <v>82</v>
      </c>
      <c r="D40" s="9">
        <v>59.879399999999997</v>
      </c>
      <c r="E40" s="9">
        <v>-159.20670000000001</v>
      </c>
      <c r="F40" s="2">
        <v>150</v>
      </c>
      <c r="G40" s="1" t="s">
        <v>19</v>
      </c>
      <c r="H40" s="49" t="s">
        <v>1342</v>
      </c>
      <c r="I40" s="2">
        <v>10978.74</v>
      </c>
      <c r="J40" s="2">
        <v>71.150000000000006</v>
      </c>
      <c r="K40" s="2">
        <v>84.555000000000007</v>
      </c>
      <c r="L40" s="1">
        <v>4</v>
      </c>
      <c r="M40" s="76">
        <v>0.48050366109020398</v>
      </c>
      <c r="N40" s="49" t="s">
        <v>117</v>
      </c>
    </row>
    <row r="41" spans="1:14" x14ac:dyDescent="0.2">
      <c r="A41" s="1" t="s">
        <v>118</v>
      </c>
      <c r="B41" s="1" t="s">
        <v>119</v>
      </c>
      <c r="C41" s="1" t="s">
        <v>120</v>
      </c>
      <c r="D41" s="9">
        <v>67.097999999999999</v>
      </c>
      <c r="E41" s="9">
        <v>-158.91399999999999</v>
      </c>
      <c r="G41" s="1" t="s">
        <v>19</v>
      </c>
      <c r="H41" s="49" t="s">
        <v>121</v>
      </c>
      <c r="I41" s="2">
        <v>7407.4</v>
      </c>
      <c r="J41" s="2">
        <v>23.794100000099998</v>
      </c>
      <c r="K41" s="2">
        <v>32.527000000000001</v>
      </c>
      <c r="L41" s="1">
        <v>4</v>
      </c>
      <c r="M41" s="76">
        <v>0.40360048299616302</v>
      </c>
      <c r="N41" s="49" t="s">
        <v>122</v>
      </c>
    </row>
    <row r="42" spans="1:14" x14ac:dyDescent="0.2">
      <c r="D42" s="9"/>
      <c r="E42" s="9"/>
    </row>
    <row r="43" spans="1:14" x14ac:dyDescent="0.2">
      <c r="A43" s="6" t="s">
        <v>123</v>
      </c>
      <c r="D43" s="9"/>
      <c r="E43" s="9"/>
    </row>
    <row r="44" spans="1:14" x14ac:dyDescent="0.2">
      <c r="A44" s="1" t="s">
        <v>124</v>
      </c>
      <c r="B44" s="1" t="s">
        <v>125</v>
      </c>
      <c r="C44" s="1" t="s">
        <v>126</v>
      </c>
      <c r="D44" s="9">
        <v>80.7</v>
      </c>
      <c r="E44" s="9">
        <v>-73.099999999999994</v>
      </c>
      <c r="F44" s="2">
        <v>1730</v>
      </c>
      <c r="G44" s="1" t="s">
        <v>76</v>
      </c>
      <c r="H44" s="49" t="s">
        <v>1605</v>
      </c>
      <c r="I44" s="2">
        <v>11640</v>
      </c>
      <c r="J44" s="2">
        <v>0</v>
      </c>
      <c r="K44" s="2">
        <v>20</v>
      </c>
      <c r="L44" s="2" t="s">
        <v>78</v>
      </c>
      <c r="M44" s="76" t="s">
        <v>78</v>
      </c>
      <c r="N44" s="49" t="s">
        <v>127</v>
      </c>
    </row>
    <row r="45" spans="1:14" x14ac:dyDescent="0.2">
      <c r="A45" s="1" t="s">
        <v>1305</v>
      </c>
      <c r="B45" s="1" t="s">
        <v>1306</v>
      </c>
      <c r="C45" s="1" t="s">
        <v>128</v>
      </c>
      <c r="D45" s="9">
        <f>66+47/60</f>
        <v>66.783333333333331</v>
      </c>
      <c r="E45" s="9">
        <f>-(63+57/60)</f>
        <v>-63.95</v>
      </c>
      <c r="F45" s="2">
        <v>17</v>
      </c>
      <c r="G45" s="1" t="s">
        <v>19</v>
      </c>
      <c r="H45" s="49" t="s">
        <v>20</v>
      </c>
      <c r="I45" s="2">
        <v>8334</v>
      </c>
      <c r="J45" s="2">
        <v>10</v>
      </c>
      <c r="K45" s="2">
        <v>193.58099999999999</v>
      </c>
      <c r="L45" s="1">
        <v>3</v>
      </c>
      <c r="M45" s="76">
        <v>0.108775361824588</v>
      </c>
      <c r="N45" s="49" t="s">
        <v>1285</v>
      </c>
    </row>
    <row r="46" spans="1:14" x14ac:dyDescent="0.2">
      <c r="A46" s="1" t="s">
        <v>129</v>
      </c>
      <c r="B46" s="1" t="s">
        <v>130</v>
      </c>
      <c r="C46" s="1" t="s">
        <v>131</v>
      </c>
      <c r="D46" s="9">
        <v>74.268000000000001</v>
      </c>
      <c r="E46" s="9">
        <v>-91.105999999999995</v>
      </c>
      <c r="F46" s="2">
        <v>-347</v>
      </c>
      <c r="G46" s="1" t="s">
        <v>40</v>
      </c>
      <c r="H46" s="49" t="s">
        <v>132</v>
      </c>
      <c r="I46" s="2">
        <v>10021.300000818001</v>
      </c>
      <c r="J46" s="2">
        <v>438.90000000000998</v>
      </c>
      <c r="K46" s="2">
        <v>16.408000000000001</v>
      </c>
      <c r="L46" s="1">
        <v>2</v>
      </c>
      <c r="M46" s="76">
        <v>0.33769547593786797</v>
      </c>
      <c r="N46" s="49" t="s">
        <v>133</v>
      </c>
    </row>
    <row r="47" spans="1:14" x14ac:dyDescent="0.2">
      <c r="A47" s="1" t="s">
        <v>134</v>
      </c>
      <c r="B47" s="1" t="s">
        <v>134</v>
      </c>
      <c r="C47" s="1" t="s">
        <v>135</v>
      </c>
      <c r="D47" s="9">
        <v>75.180000000000007</v>
      </c>
      <c r="E47" s="9">
        <v>-111.92</v>
      </c>
      <c r="G47" s="1" t="s">
        <v>19</v>
      </c>
      <c r="H47" s="49" t="s">
        <v>1606</v>
      </c>
      <c r="I47" s="2">
        <v>12943</v>
      </c>
      <c r="J47" s="2">
        <v>-66</v>
      </c>
      <c r="K47" s="2">
        <v>60.506999999999998</v>
      </c>
      <c r="L47" s="1">
        <v>3</v>
      </c>
      <c r="M47" s="76">
        <v>-2.0888669231222701</v>
      </c>
      <c r="N47" s="49" t="s">
        <v>136</v>
      </c>
    </row>
    <row r="48" spans="1:14" x14ac:dyDescent="0.2">
      <c r="A48" s="1" t="s">
        <v>137</v>
      </c>
      <c r="B48" s="1" t="s">
        <v>138</v>
      </c>
      <c r="C48" s="1" t="s">
        <v>128</v>
      </c>
      <c r="D48" s="9">
        <v>69.87</v>
      </c>
      <c r="E48" s="9">
        <v>-68.86</v>
      </c>
      <c r="G48" s="1" t="s">
        <v>19</v>
      </c>
      <c r="H48" s="49" t="s">
        <v>139</v>
      </c>
      <c r="I48" s="2">
        <v>10185.661083999999</v>
      </c>
      <c r="J48" s="2">
        <v>-56</v>
      </c>
      <c r="K48" s="2">
        <v>15.805</v>
      </c>
      <c r="L48" s="1">
        <v>4</v>
      </c>
      <c r="M48" s="76">
        <v>2.8559152545620998</v>
      </c>
      <c r="N48" s="49" t="s">
        <v>140</v>
      </c>
    </row>
    <row r="49" spans="1:14" x14ac:dyDescent="0.2">
      <c r="A49" s="1" t="s">
        <v>141</v>
      </c>
      <c r="B49" s="1" t="s">
        <v>142</v>
      </c>
      <c r="C49" s="1" t="s">
        <v>143</v>
      </c>
      <c r="D49" s="9">
        <v>67</v>
      </c>
      <c r="E49" s="9">
        <v>-50.7</v>
      </c>
      <c r="F49" s="2">
        <v>170</v>
      </c>
      <c r="G49" s="1" t="s">
        <v>19</v>
      </c>
      <c r="H49" s="49" t="s">
        <v>144</v>
      </c>
      <c r="I49" s="2">
        <v>6119</v>
      </c>
      <c r="J49" s="2">
        <v>-55</v>
      </c>
      <c r="K49" s="2">
        <v>44.1</v>
      </c>
      <c r="L49" s="1">
        <v>2</v>
      </c>
      <c r="M49" s="76">
        <v>1.50070377096361</v>
      </c>
      <c r="N49" s="49" t="s">
        <v>1157</v>
      </c>
    </row>
    <row r="50" spans="1:14" x14ac:dyDescent="0.2">
      <c r="A50" s="1" t="s">
        <v>145</v>
      </c>
      <c r="B50" s="1" t="s">
        <v>146</v>
      </c>
      <c r="C50" s="1" t="s">
        <v>126</v>
      </c>
      <c r="D50" s="9">
        <v>77.17</v>
      </c>
      <c r="E50" s="9">
        <v>-61.13</v>
      </c>
      <c r="F50" s="2">
        <v>1890</v>
      </c>
      <c r="G50" s="1" t="s">
        <v>76</v>
      </c>
      <c r="H50" s="49" t="s">
        <v>77</v>
      </c>
      <c r="I50" s="2">
        <v>11650</v>
      </c>
      <c r="J50" s="2">
        <v>-10</v>
      </c>
      <c r="K50" s="2">
        <v>20</v>
      </c>
      <c r="L50" s="2" t="s">
        <v>78</v>
      </c>
      <c r="M50" s="76" t="s">
        <v>78</v>
      </c>
      <c r="N50" s="49" t="s">
        <v>127</v>
      </c>
    </row>
    <row r="51" spans="1:14" x14ac:dyDescent="0.2">
      <c r="A51" s="1" t="s">
        <v>147</v>
      </c>
      <c r="B51" s="1" t="s">
        <v>147</v>
      </c>
      <c r="C51" s="1" t="s">
        <v>148</v>
      </c>
      <c r="D51" s="9">
        <v>68.715000000000003</v>
      </c>
      <c r="E51" s="9">
        <v>-51.106999999999999</v>
      </c>
      <c r="F51" s="2">
        <v>-335</v>
      </c>
      <c r="G51" s="1" t="s">
        <v>40</v>
      </c>
      <c r="H51" s="49" t="s">
        <v>149</v>
      </c>
      <c r="I51" s="10">
        <v>6882.62</v>
      </c>
      <c r="J51" s="10">
        <v>1062.82</v>
      </c>
      <c r="K51" s="10">
        <v>88.179000000000002</v>
      </c>
      <c r="L51" s="2">
        <v>4</v>
      </c>
      <c r="M51" s="76">
        <v>3.1658617218458698</v>
      </c>
      <c r="N51" s="49" t="s">
        <v>150</v>
      </c>
    </row>
    <row r="52" spans="1:14" x14ac:dyDescent="0.2">
      <c r="A52" s="1" t="s">
        <v>151</v>
      </c>
      <c r="B52" s="1" t="s">
        <v>152</v>
      </c>
      <c r="C52" s="1" t="s">
        <v>153</v>
      </c>
      <c r="D52" s="9">
        <f>75+19/60</f>
        <v>75.316666666666663</v>
      </c>
      <c r="E52" s="9">
        <f>-(82+30/60)</f>
        <v>-82.5</v>
      </c>
      <c r="G52" s="1" t="s">
        <v>76</v>
      </c>
      <c r="H52" s="49" t="s">
        <v>77</v>
      </c>
      <c r="I52" s="2">
        <v>20539</v>
      </c>
      <c r="J52" s="2">
        <v>39</v>
      </c>
      <c r="K52" s="2">
        <v>50</v>
      </c>
      <c r="L52" s="2" t="s">
        <v>78</v>
      </c>
      <c r="M52" s="76" t="s">
        <v>78</v>
      </c>
      <c r="N52" s="49" t="s">
        <v>154</v>
      </c>
    </row>
    <row r="53" spans="1:14" x14ac:dyDescent="0.2">
      <c r="A53" s="1" t="s">
        <v>155</v>
      </c>
      <c r="B53" s="1" t="s">
        <v>156</v>
      </c>
      <c r="C53" s="1" t="s">
        <v>126</v>
      </c>
      <c r="D53" s="9">
        <f>65+11/60</f>
        <v>65.183333333333337</v>
      </c>
      <c r="E53" s="9">
        <v>-43.82</v>
      </c>
      <c r="G53" s="1" t="s">
        <v>76</v>
      </c>
      <c r="H53" s="49" t="s">
        <v>77</v>
      </c>
      <c r="I53" s="2">
        <v>11640</v>
      </c>
      <c r="J53" s="2">
        <v>-20</v>
      </c>
      <c r="K53" s="2">
        <v>20</v>
      </c>
      <c r="L53" s="2" t="s">
        <v>78</v>
      </c>
      <c r="M53" s="76" t="s">
        <v>78</v>
      </c>
      <c r="N53" s="49" t="s">
        <v>157</v>
      </c>
    </row>
    <row r="54" spans="1:14" x14ac:dyDescent="0.2">
      <c r="A54" s="1" t="s">
        <v>158</v>
      </c>
      <c r="B54" s="1" t="s">
        <v>159</v>
      </c>
      <c r="C54" s="1" t="s">
        <v>160</v>
      </c>
      <c r="D54" s="9">
        <v>65.61</v>
      </c>
      <c r="E54" s="9">
        <v>-37.69</v>
      </c>
      <c r="F54" s="2">
        <v>73</v>
      </c>
      <c r="G54" s="1" t="s">
        <v>19</v>
      </c>
      <c r="H54" s="49" t="s">
        <v>161</v>
      </c>
      <c r="I54" s="2">
        <v>8560</v>
      </c>
      <c r="J54" s="2">
        <v>308</v>
      </c>
      <c r="K54" s="2">
        <v>358.78300000000002</v>
      </c>
      <c r="L54" s="1">
        <v>4</v>
      </c>
      <c r="M54" s="76">
        <v>3.2435686403288702</v>
      </c>
      <c r="N54" s="49" t="s">
        <v>162</v>
      </c>
    </row>
    <row r="55" spans="1:14" x14ac:dyDescent="0.2">
      <c r="A55" s="1" t="s">
        <v>163</v>
      </c>
      <c r="B55" s="1" t="s">
        <v>163</v>
      </c>
      <c r="C55" s="1" t="s">
        <v>126</v>
      </c>
      <c r="D55" s="9">
        <v>72.58</v>
      </c>
      <c r="E55" s="9">
        <v>-38.46</v>
      </c>
      <c r="F55" s="2">
        <v>3216</v>
      </c>
      <c r="G55" s="1" t="s">
        <v>76</v>
      </c>
      <c r="H55" s="49" t="s">
        <v>1607</v>
      </c>
      <c r="I55" s="2">
        <v>49981</v>
      </c>
      <c r="J55" s="2">
        <v>95.140900000000002</v>
      </c>
      <c r="K55" s="2">
        <v>30.585999999999999</v>
      </c>
      <c r="L55" s="2" t="s">
        <v>78</v>
      </c>
      <c r="M55" s="76" t="s">
        <v>78</v>
      </c>
      <c r="N55" s="49" t="s">
        <v>164</v>
      </c>
    </row>
    <row r="56" spans="1:14" x14ac:dyDescent="0.2">
      <c r="A56" s="1" t="s">
        <v>165</v>
      </c>
      <c r="B56" s="1" t="s">
        <v>165</v>
      </c>
      <c r="C56" s="1" t="s">
        <v>126</v>
      </c>
      <c r="D56" s="9">
        <f>72+0.35/60</f>
        <v>72.005833333333328</v>
      </c>
      <c r="E56" s="9">
        <f>-37-38/60</f>
        <v>-37.633333333333333</v>
      </c>
      <c r="F56" s="2">
        <v>3230</v>
      </c>
      <c r="G56" s="1" t="s">
        <v>76</v>
      </c>
      <c r="H56" s="49" t="s">
        <v>77</v>
      </c>
      <c r="I56" s="2">
        <v>32380</v>
      </c>
      <c r="J56" s="2">
        <v>-20</v>
      </c>
      <c r="K56" s="2">
        <v>20</v>
      </c>
      <c r="L56" s="2" t="s">
        <v>78</v>
      </c>
      <c r="M56" s="76" t="s">
        <v>78</v>
      </c>
      <c r="N56" s="49" t="s">
        <v>157</v>
      </c>
    </row>
    <row r="57" spans="1:14" x14ac:dyDescent="0.2">
      <c r="A57" s="1" t="s">
        <v>166</v>
      </c>
      <c r="B57" s="1" t="s">
        <v>167</v>
      </c>
      <c r="C57" s="1" t="s">
        <v>168</v>
      </c>
      <c r="D57" s="9">
        <v>76.433000000000007</v>
      </c>
      <c r="E57" s="9">
        <v>-18.766999999999999</v>
      </c>
      <c r="F57" s="2">
        <v>114</v>
      </c>
      <c r="G57" s="1" t="s">
        <v>19</v>
      </c>
      <c r="H57" s="49" t="s">
        <v>59</v>
      </c>
      <c r="I57" s="2">
        <v>9773</v>
      </c>
      <c r="J57" s="2">
        <v>488</v>
      </c>
      <c r="K57" s="2">
        <v>299.51600000000002</v>
      </c>
      <c r="L57" s="1">
        <v>3</v>
      </c>
      <c r="M57" s="76">
        <v>-0.80912982128410005</v>
      </c>
      <c r="N57" s="49" t="s">
        <v>1095</v>
      </c>
    </row>
    <row r="58" spans="1:14" x14ac:dyDescent="0.2">
      <c r="A58" s="1" t="s">
        <v>169</v>
      </c>
      <c r="B58" s="1" t="s">
        <v>170</v>
      </c>
      <c r="C58" s="1" t="s">
        <v>171</v>
      </c>
      <c r="D58" s="9">
        <v>58.3676666666667</v>
      </c>
      <c r="E58" s="9">
        <v>-57.506999999999998</v>
      </c>
      <c r="F58" s="2">
        <v>-2853</v>
      </c>
      <c r="G58" s="1" t="s">
        <v>40</v>
      </c>
      <c r="H58" s="49" t="s">
        <v>52</v>
      </c>
      <c r="I58" s="2">
        <v>8296.5</v>
      </c>
      <c r="J58" s="2">
        <v>1968.1</v>
      </c>
      <c r="K58" s="2">
        <v>158.21</v>
      </c>
      <c r="L58" s="1">
        <v>4</v>
      </c>
      <c r="M58" s="76">
        <v>-2.4818977621592002</v>
      </c>
      <c r="N58" s="49" t="s">
        <v>1325</v>
      </c>
    </row>
    <row r="59" spans="1:14" x14ac:dyDescent="0.2">
      <c r="A59" s="1" t="s">
        <v>172</v>
      </c>
      <c r="B59" s="1" t="s">
        <v>173</v>
      </c>
      <c r="C59" s="1" t="s">
        <v>171</v>
      </c>
      <c r="D59" s="9">
        <v>58.2098333333333</v>
      </c>
      <c r="E59" s="9">
        <v>-48.373333333333299</v>
      </c>
      <c r="F59" s="2">
        <v>-3380</v>
      </c>
      <c r="G59" s="1" t="s">
        <v>40</v>
      </c>
      <c r="H59" s="49" t="s">
        <v>52</v>
      </c>
      <c r="I59" s="2">
        <v>11918.6</v>
      </c>
      <c r="J59" s="2">
        <v>1361.5</v>
      </c>
      <c r="K59" s="2">
        <v>131.964</v>
      </c>
      <c r="L59" s="1">
        <v>4</v>
      </c>
      <c r="M59" s="76">
        <v>1.13503066680312</v>
      </c>
      <c r="N59" s="49" t="s">
        <v>53</v>
      </c>
    </row>
    <row r="60" spans="1:14" x14ac:dyDescent="0.2">
      <c r="A60" s="1" t="s">
        <v>174</v>
      </c>
      <c r="B60" s="1" t="s">
        <v>175</v>
      </c>
      <c r="C60" s="1" t="s">
        <v>176</v>
      </c>
      <c r="D60" s="9">
        <v>77.266666666666694</v>
      </c>
      <c r="E60" s="9">
        <v>-74.331666666666706</v>
      </c>
      <c r="F60" s="2">
        <v>-663</v>
      </c>
      <c r="G60" s="1" t="s">
        <v>40</v>
      </c>
      <c r="H60" s="49" t="s">
        <v>52</v>
      </c>
      <c r="I60" s="2">
        <v>6755.8</v>
      </c>
      <c r="J60" s="2">
        <v>1548.8</v>
      </c>
      <c r="K60" s="2">
        <v>130.17500000000001</v>
      </c>
      <c r="L60" s="1">
        <v>3</v>
      </c>
      <c r="M60" s="76">
        <v>1.9979892211492301</v>
      </c>
      <c r="N60" s="49" t="s">
        <v>1326</v>
      </c>
    </row>
    <row r="61" spans="1:14" x14ac:dyDescent="0.2">
      <c r="A61" s="1" t="s">
        <v>177</v>
      </c>
      <c r="B61" s="1" t="s">
        <v>178</v>
      </c>
      <c r="C61" s="1" t="s">
        <v>179</v>
      </c>
      <c r="D61" s="9">
        <v>61</v>
      </c>
      <c r="E61" s="9">
        <v>-45.43</v>
      </c>
      <c r="F61" s="2">
        <v>30</v>
      </c>
      <c r="G61" s="1" t="s">
        <v>19</v>
      </c>
      <c r="H61" s="49" t="s">
        <v>180</v>
      </c>
      <c r="I61" s="2">
        <v>9527</v>
      </c>
      <c r="J61" s="2">
        <v>-51.2</v>
      </c>
      <c r="K61" s="2">
        <v>116.807</v>
      </c>
      <c r="L61" s="1">
        <v>4</v>
      </c>
      <c r="M61" s="76">
        <v>3.2070806945458501</v>
      </c>
      <c r="N61" s="49" t="s">
        <v>181</v>
      </c>
    </row>
    <row r="62" spans="1:14" x14ac:dyDescent="0.2">
      <c r="A62" s="1" t="s">
        <v>182</v>
      </c>
      <c r="B62" s="1" t="s">
        <v>183</v>
      </c>
      <c r="C62" s="1" t="s">
        <v>153</v>
      </c>
      <c r="D62" s="9">
        <v>66.14</v>
      </c>
      <c r="E62" s="9">
        <v>-66.08</v>
      </c>
      <c r="F62" s="2">
        <v>90</v>
      </c>
      <c r="G62" s="1" t="s">
        <v>19</v>
      </c>
      <c r="H62" s="49" t="s">
        <v>20</v>
      </c>
      <c r="I62" s="2">
        <v>10268.9323739839</v>
      </c>
      <c r="J62" s="2">
        <v>-24.3464690954658</v>
      </c>
      <c r="K62" s="2">
        <v>177.47</v>
      </c>
      <c r="L62" s="1">
        <v>1</v>
      </c>
      <c r="M62" s="76">
        <v>-2.0328203026707299</v>
      </c>
      <c r="N62" s="49" t="s">
        <v>1081</v>
      </c>
    </row>
    <row r="63" spans="1:14" x14ac:dyDescent="0.2">
      <c r="A63" s="1" t="s">
        <v>184</v>
      </c>
      <c r="B63" s="1" t="s">
        <v>185</v>
      </c>
      <c r="C63" s="1" t="s">
        <v>153</v>
      </c>
      <c r="D63" s="9">
        <v>63.667000000000002</v>
      </c>
      <c r="E63" s="9">
        <v>-65.152000000000001</v>
      </c>
      <c r="F63" s="2">
        <v>300</v>
      </c>
      <c r="G63" s="1" t="s">
        <v>19</v>
      </c>
      <c r="H63" s="49" t="s">
        <v>20</v>
      </c>
      <c r="I63" s="2">
        <v>8081.6663143244396</v>
      </c>
      <c r="J63" s="2">
        <v>-41</v>
      </c>
      <c r="K63" s="2">
        <v>312.41000000000003</v>
      </c>
      <c r="L63" s="1">
        <v>2</v>
      </c>
      <c r="M63" s="76">
        <v>-1.16151117459357</v>
      </c>
      <c r="N63" s="49" t="s">
        <v>186</v>
      </c>
    </row>
    <row r="64" spans="1:14" x14ac:dyDescent="0.2">
      <c r="A64" s="1" t="s">
        <v>187</v>
      </c>
      <c r="B64" s="1" t="s">
        <v>188</v>
      </c>
      <c r="C64" s="1" t="s">
        <v>189</v>
      </c>
      <c r="D64" s="9">
        <v>74.186999999999998</v>
      </c>
      <c r="E64" s="9">
        <v>-81.194999999999993</v>
      </c>
      <c r="F64" s="2">
        <v>-781</v>
      </c>
      <c r="G64" s="1" t="s">
        <v>40</v>
      </c>
      <c r="H64" s="49" t="s">
        <v>52</v>
      </c>
      <c r="I64" s="10">
        <v>10821</v>
      </c>
      <c r="J64" s="10">
        <v>2034.7</v>
      </c>
      <c r="K64" s="10">
        <v>156.898</v>
      </c>
      <c r="L64" s="2" t="s">
        <v>78</v>
      </c>
      <c r="M64" s="76" t="s">
        <v>78</v>
      </c>
      <c r="N64" s="49" t="s">
        <v>190</v>
      </c>
    </row>
    <row r="65" spans="1:14" x14ac:dyDescent="0.2">
      <c r="A65" s="1" t="s">
        <v>191</v>
      </c>
      <c r="B65" s="1" t="s">
        <v>191</v>
      </c>
      <c r="C65" s="1" t="s">
        <v>171</v>
      </c>
      <c r="D65" s="9">
        <v>58.210666666666697</v>
      </c>
      <c r="E65" s="9">
        <v>-48.372999999999998</v>
      </c>
      <c r="F65" s="2">
        <v>-3460</v>
      </c>
      <c r="G65" s="1" t="s">
        <v>40</v>
      </c>
      <c r="H65" s="49" t="s">
        <v>52</v>
      </c>
      <c r="I65" s="2">
        <v>11832</v>
      </c>
      <c r="J65" s="2">
        <v>753.39</v>
      </c>
      <c r="K65" s="2">
        <v>128.821</v>
      </c>
      <c r="L65" s="2">
        <v>4</v>
      </c>
      <c r="M65" s="76">
        <v>3.6627574324886099</v>
      </c>
      <c r="N65" s="58" t="s">
        <v>1077</v>
      </c>
    </row>
    <row r="66" spans="1:14" x14ac:dyDescent="0.2">
      <c r="A66" s="1" t="s">
        <v>1310</v>
      </c>
      <c r="B66" s="1" t="s">
        <v>1310</v>
      </c>
      <c r="C66" s="1" t="s">
        <v>160</v>
      </c>
      <c r="D66" s="1">
        <v>59.98</v>
      </c>
      <c r="E66" s="1">
        <v>-44.18</v>
      </c>
      <c r="F66" s="2">
        <v>101</v>
      </c>
      <c r="G66" s="1" t="s">
        <v>19</v>
      </c>
      <c r="H66" s="49" t="s">
        <v>68</v>
      </c>
      <c r="I66" s="2">
        <v>14377</v>
      </c>
      <c r="J66" s="2">
        <v>320</v>
      </c>
      <c r="K66" s="2">
        <v>22</v>
      </c>
      <c r="L66" s="2">
        <v>3</v>
      </c>
      <c r="M66" s="80">
        <v>2.19216053224967</v>
      </c>
      <c r="N66" s="58" t="s">
        <v>1311</v>
      </c>
    </row>
    <row r="67" spans="1:14" x14ac:dyDescent="0.2">
      <c r="A67" s="1" t="s">
        <v>192</v>
      </c>
      <c r="B67" s="1" t="s">
        <v>193</v>
      </c>
      <c r="C67" s="1" t="s">
        <v>194</v>
      </c>
      <c r="D67" s="9">
        <f>66+40/60</f>
        <v>66.666666666666671</v>
      </c>
      <c r="E67" s="9">
        <f>-51-58/60</f>
        <v>-51.966666666666669</v>
      </c>
      <c r="F67" s="2">
        <v>300</v>
      </c>
      <c r="G67" s="1" t="s">
        <v>19</v>
      </c>
      <c r="H67" s="49" t="s">
        <v>195</v>
      </c>
      <c r="I67" s="2">
        <v>9498</v>
      </c>
      <c r="J67" s="2">
        <v>429</v>
      </c>
      <c r="K67" s="2">
        <v>12.956</v>
      </c>
      <c r="L67" s="1">
        <v>4</v>
      </c>
      <c r="M67" s="76">
        <v>0.89950698019545805</v>
      </c>
      <c r="N67" s="49" t="s">
        <v>196</v>
      </c>
    </row>
    <row r="68" spans="1:14" x14ac:dyDescent="0.2">
      <c r="A68" s="1" t="s">
        <v>197</v>
      </c>
      <c r="B68" s="1" t="s">
        <v>197</v>
      </c>
      <c r="C68" s="1" t="s">
        <v>126</v>
      </c>
      <c r="D68" s="9">
        <v>75.099999999999994</v>
      </c>
      <c r="E68" s="9">
        <v>-42.32</v>
      </c>
      <c r="F68" s="2">
        <v>2917</v>
      </c>
      <c r="G68" s="1" t="s">
        <v>76</v>
      </c>
      <c r="H68" s="49" t="s">
        <v>77</v>
      </c>
      <c r="I68" s="2">
        <v>41700</v>
      </c>
      <c r="J68" s="2">
        <v>-40</v>
      </c>
      <c r="K68" s="2">
        <v>20</v>
      </c>
      <c r="L68" s="2" t="s">
        <v>78</v>
      </c>
      <c r="M68" s="76" t="s">
        <v>78</v>
      </c>
      <c r="N68" s="49" t="s">
        <v>198</v>
      </c>
    </row>
    <row r="69" spans="1:14" x14ac:dyDescent="0.2">
      <c r="A69" s="1" t="s">
        <v>199</v>
      </c>
      <c r="B69" s="1" t="s">
        <v>200</v>
      </c>
      <c r="C69" s="1" t="s">
        <v>194</v>
      </c>
      <c r="D69" s="9">
        <f>69+14.5/60</f>
        <v>69.24166666666666</v>
      </c>
      <c r="E69" s="9">
        <f>-50-1.6/60</f>
        <v>-50.026666666666664</v>
      </c>
      <c r="F69" s="2">
        <v>190</v>
      </c>
      <c r="G69" s="1" t="s">
        <v>19</v>
      </c>
      <c r="H69" s="49" t="s">
        <v>1608</v>
      </c>
      <c r="I69" s="2">
        <v>7271</v>
      </c>
      <c r="J69" s="2">
        <v>-52</v>
      </c>
      <c r="K69" s="2">
        <v>71.793999999999997</v>
      </c>
      <c r="L69" s="2">
        <v>4</v>
      </c>
      <c r="M69" s="76">
        <v>4.0572005704039897</v>
      </c>
      <c r="N69" s="49" t="s">
        <v>201</v>
      </c>
    </row>
    <row r="70" spans="1:14" x14ac:dyDescent="0.2">
      <c r="A70" s="1" t="s">
        <v>202</v>
      </c>
      <c r="B70" s="1" t="s">
        <v>203</v>
      </c>
      <c r="C70" s="1" t="s">
        <v>128</v>
      </c>
      <c r="D70" s="9">
        <v>67.25</v>
      </c>
      <c r="E70" s="9">
        <v>-66.75</v>
      </c>
      <c r="F70" s="2">
        <v>1900</v>
      </c>
      <c r="G70" s="1" t="s">
        <v>76</v>
      </c>
      <c r="H70" s="49" t="s">
        <v>1607</v>
      </c>
      <c r="I70" s="2">
        <v>11787.299800000001</v>
      </c>
      <c r="J70" s="2">
        <v>-32.700000000000003</v>
      </c>
      <c r="K70" s="2">
        <v>10</v>
      </c>
      <c r="L70" s="2" t="s">
        <v>78</v>
      </c>
      <c r="M70" s="76" t="s">
        <v>78</v>
      </c>
      <c r="N70" s="49" t="s">
        <v>204</v>
      </c>
    </row>
    <row r="71" spans="1:14" x14ac:dyDescent="0.2">
      <c r="A71" s="1" t="s">
        <v>1307</v>
      </c>
      <c r="B71" s="1" t="s">
        <v>205</v>
      </c>
      <c r="C71" s="1" t="s">
        <v>160</v>
      </c>
      <c r="D71" s="9">
        <f>61</f>
        <v>61</v>
      </c>
      <c r="E71" s="9">
        <f>-(47+45/60)</f>
        <v>-47.75</v>
      </c>
      <c r="F71" s="2">
        <v>7</v>
      </c>
      <c r="G71" s="1" t="s">
        <v>19</v>
      </c>
      <c r="H71" s="49" t="s">
        <v>1609</v>
      </c>
      <c r="I71" s="2">
        <v>8634</v>
      </c>
      <c r="J71" s="2">
        <v>8</v>
      </c>
      <c r="K71" s="2">
        <v>176.041</v>
      </c>
      <c r="L71" s="1">
        <v>2</v>
      </c>
      <c r="M71" s="76">
        <v>0.48958179860995199</v>
      </c>
      <c r="N71" s="49" t="s">
        <v>1286</v>
      </c>
    </row>
    <row r="72" spans="1:14" x14ac:dyDescent="0.2">
      <c r="A72" s="1" t="s">
        <v>206</v>
      </c>
      <c r="B72" s="1" t="s">
        <v>207</v>
      </c>
      <c r="C72" s="1" t="s">
        <v>126</v>
      </c>
      <c r="D72" s="9">
        <v>71.3</v>
      </c>
      <c r="E72" s="9">
        <v>-26.7</v>
      </c>
      <c r="F72" s="2">
        <v>2350</v>
      </c>
      <c r="G72" s="1" t="s">
        <v>76</v>
      </c>
      <c r="H72" s="49" t="s">
        <v>208</v>
      </c>
      <c r="I72" s="2">
        <v>59390</v>
      </c>
      <c r="J72" s="2">
        <v>-10</v>
      </c>
      <c r="K72" s="2">
        <v>62.856999999999999</v>
      </c>
      <c r="L72" s="2" t="s">
        <v>78</v>
      </c>
      <c r="M72" s="76" t="s">
        <v>78</v>
      </c>
      <c r="N72" s="49" t="s">
        <v>127</v>
      </c>
    </row>
    <row r="73" spans="1:14" x14ac:dyDescent="0.2">
      <c r="A73" s="1" t="s">
        <v>209</v>
      </c>
      <c r="B73" s="1" t="s">
        <v>210</v>
      </c>
      <c r="C73" s="1" t="s">
        <v>194</v>
      </c>
      <c r="D73" s="9">
        <f>67+5/60</f>
        <v>67.083333333333329</v>
      </c>
      <c r="E73" s="9">
        <f>-50-17/60</f>
        <v>-50.283333333333331</v>
      </c>
      <c r="F73" s="2">
        <v>247</v>
      </c>
      <c r="G73" s="1" t="s">
        <v>19</v>
      </c>
      <c r="H73" s="49" t="s">
        <v>45</v>
      </c>
      <c r="I73" s="2">
        <v>7400</v>
      </c>
      <c r="J73" s="2">
        <v>12</v>
      </c>
      <c r="K73" s="2">
        <v>12.292999999999999</v>
      </c>
      <c r="L73" s="1">
        <v>1</v>
      </c>
      <c r="M73" s="76">
        <v>-0.81603110735242002</v>
      </c>
      <c r="N73" s="49" t="s">
        <v>196</v>
      </c>
    </row>
    <row r="74" spans="1:14" x14ac:dyDescent="0.2">
      <c r="A74" s="1" t="s">
        <v>211</v>
      </c>
      <c r="B74" s="1" t="s">
        <v>211</v>
      </c>
      <c r="C74" s="1" t="s">
        <v>135</v>
      </c>
      <c r="D74" s="9">
        <v>68.55</v>
      </c>
      <c r="E74" s="9">
        <v>-83.29</v>
      </c>
      <c r="F74" s="2">
        <v>220</v>
      </c>
      <c r="G74" s="1" t="s">
        <v>19</v>
      </c>
      <c r="H74" s="49" t="s">
        <v>716</v>
      </c>
      <c r="I74" s="2">
        <v>8080</v>
      </c>
      <c r="J74" s="2">
        <v>-53.4</v>
      </c>
      <c r="K74" s="2">
        <v>76.73</v>
      </c>
      <c r="L74" s="1">
        <v>4</v>
      </c>
      <c r="M74" s="76">
        <v>2.3956889318666001</v>
      </c>
      <c r="N74" s="49" t="s">
        <v>212</v>
      </c>
    </row>
    <row r="75" spans="1:14" x14ac:dyDescent="0.2">
      <c r="A75" s="1" t="s">
        <v>213</v>
      </c>
      <c r="B75" s="1" t="s">
        <v>213</v>
      </c>
      <c r="C75" s="1" t="s">
        <v>194</v>
      </c>
      <c r="D75" s="9">
        <v>67.013999999999996</v>
      </c>
      <c r="E75" s="9">
        <v>-51.101999999999997</v>
      </c>
      <c r="F75" s="2">
        <v>196</v>
      </c>
      <c r="G75" s="1" t="s">
        <v>19</v>
      </c>
      <c r="H75" s="49" t="s">
        <v>214</v>
      </c>
      <c r="I75" s="2">
        <v>8429.2999999999993</v>
      </c>
      <c r="J75" s="2">
        <v>46</v>
      </c>
      <c r="K75" s="2">
        <v>48.18</v>
      </c>
      <c r="L75" s="1">
        <v>1</v>
      </c>
      <c r="M75" s="76">
        <v>-0.31889170459391503</v>
      </c>
      <c r="N75" s="49" t="s">
        <v>215</v>
      </c>
    </row>
    <row r="76" spans="1:14" x14ac:dyDescent="0.2">
      <c r="A76" s="1" t="s">
        <v>216</v>
      </c>
      <c r="B76" s="1" t="s">
        <v>216</v>
      </c>
      <c r="C76" s="1" t="s">
        <v>194</v>
      </c>
      <c r="D76" s="9">
        <v>66.91</v>
      </c>
      <c r="E76" s="9">
        <v>-50.46</v>
      </c>
      <c r="F76" s="2">
        <v>477</v>
      </c>
      <c r="G76" s="1" t="s">
        <v>19</v>
      </c>
      <c r="H76" s="49" t="s">
        <v>217</v>
      </c>
      <c r="I76" s="2">
        <v>8327.6981112793601</v>
      </c>
      <c r="J76" s="2">
        <v>-49.649087783530497</v>
      </c>
      <c r="K76" s="2">
        <v>68.667000000000002</v>
      </c>
      <c r="L76" s="1">
        <v>2</v>
      </c>
      <c r="M76" s="76">
        <v>1.09571866398474</v>
      </c>
      <c r="N76" s="49" t="s">
        <v>218</v>
      </c>
    </row>
    <row r="77" spans="1:14" x14ac:dyDescent="0.2">
      <c r="A77" s="1" t="s">
        <v>219</v>
      </c>
      <c r="B77" s="1" t="s">
        <v>219</v>
      </c>
      <c r="C77" s="1" t="s">
        <v>194</v>
      </c>
      <c r="D77" s="9">
        <v>66.86</v>
      </c>
      <c r="E77" s="9">
        <v>-52.64</v>
      </c>
      <c r="F77" s="2">
        <v>330</v>
      </c>
      <c r="G77" s="1" t="s">
        <v>19</v>
      </c>
      <c r="H77" s="49" t="s">
        <v>217</v>
      </c>
      <c r="I77" s="2">
        <v>9533.7662909999999</v>
      </c>
      <c r="J77" s="2">
        <v>169.7500019</v>
      </c>
      <c r="K77" s="2">
        <v>85.126999999999995</v>
      </c>
      <c r="L77" s="1">
        <v>2</v>
      </c>
      <c r="M77" s="76">
        <v>0.811739615980834</v>
      </c>
      <c r="N77" s="49" t="s">
        <v>218</v>
      </c>
    </row>
    <row r="78" spans="1:14" x14ac:dyDescent="0.2">
      <c r="A78" s="1" t="s">
        <v>220</v>
      </c>
      <c r="B78" s="1" t="s">
        <v>220</v>
      </c>
      <c r="C78" s="1" t="s">
        <v>194</v>
      </c>
      <c r="D78" s="9">
        <v>67.010999999999996</v>
      </c>
      <c r="E78" s="9">
        <v>-51.073999999999998</v>
      </c>
      <c r="F78" s="2">
        <v>188</v>
      </c>
      <c r="G78" s="1" t="s">
        <v>19</v>
      </c>
      <c r="H78" s="49" t="s">
        <v>221</v>
      </c>
      <c r="I78" s="2">
        <v>8761</v>
      </c>
      <c r="J78" s="2">
        <v>1856</v>
      </c>
      <c r="K78" s="2">
        <v>56.137999999999998</v>
      </c>
      <c r="L78" s="1">
        <v>2</v>
      </c>
      <c r="M78" s="76">
        <v>1.73175032924392</v>
      </c>
      <c r="N78" s="49" t="s">
        <v>215</v>
      </c>
    </row>
    <row r="79" spans="1:14" x14ac:dyDescent="0.2">
      <c r="D79" s="9"/>
      <c r="E79" s="9"/>
    </row>
    <row r="80" spans="1:14" x14ac:dyDescent="0.2">
      <c r="A80" s="6" t="s">
        <v>222</v>
      </c>
      <c r="D80" s="9"/>
      <c r="E80" s="9"/>
    </row>
    <row r="81" spans="1:14" x14ac:dyDescent="0.2">
      <c r="A81" s="1" t="s">
        <v>223</v>
      </c>
      <c r="B81" s="1" t="s">
        <v>224</v>
      </c>
      <c r="C81" s="1" t="s">
        <v>225</v>
      </c>
      <c r="D81" s="9">
        <v>60.58</v>
      </c>
      <c r="E81" s="9">
        <v>24.8</v>
      </c>
      <c r="F81" s="2">
        <v>133</v>
      </c>
      <c r="G81" s="1" t="s">
        <v>19</v>
      </c>
      <c r="H81" s="49" t="s">
        <v>20</v>
      </c>
      <c r="I81" s="2">
        <v>8888.5</v>
      </c>
      <c r="J81" s="2">
        <v>0</v>
      </c>
      <c r="K81" s="2">
        <v>109.735</v>
      </c>
      <c r="L81" s="1">
        <v>3</v>
      </c>
      <c r="M81" s="76">
        <v>1.2838841639481999</v>
      </c>
      <c r="N81" s="49" t="s">
        <v>226</v>
      </c>
    </row>
    <row r="82" spans="1:14" x14ac:dyDescent="0.2">
      <c r="A82" s="1" t="s">
        <v>227</v>
      </c>
      <c r="B82" s="1" t="s">
        <v>228</v>
      </c>
      <c r="C82" s="1" t="s">
        <v>235</v>
      </c>
      <c r="D82" s="9">
        <f>68+32/60</f>
        <v>68.533333333333331</v>
      </c>
      <c r="E82" s="9">
        <f>(17+16/60)</f>
        <v>17.266666666666666</v>
      </c>
      <c r="F82" s="2">
        <v>135</v>
      </c>
      <c r="G82" s="1" t="s">
        <v>19</v>
      </c>
      <c r="H82" s="49" t="s">
        <v>20</v>
      </c>
      <c r="I82" s="2">
        <v>8838.8700000000008</v>
      </c>
      <c r="J82" s="2">
        <v>19.45</v>
      </c>
      <c r="K82" s="2">
        <v>293.98099999999999</v>
      </c>
      <c r="L82" s="1">
        <v>1</v>
      </c>
      <c r="M82" s="76">
        <v>-2.8312230027885898</v>
      </c>
      <c r="N82" s="49" t="s">
        <v>229</v>
      </c>
    </row>
    <row r="83" spans="1:14" x14ac:dyDescent="0.2">
      <c r="A83" s="1" t="s">
        <v>230</v>
      </c>
      <c r="B83" s="1" t="s">
        <v>231</v>
      </c>
      <c r="C83" s="1" t="s">
        <v>1313</v>
      </c>
      <c r="D83" s="9">
        <v>66.349999999999994</v>
      </c>
      <c r="E83" s="9">
        <v>36.67</v>
      </c>
      <c r="F83" s="2">
        <v>25</v>
      </c>
      <c r="G83" s="1" t="s">
        <v>19</v>
      </c>
      <c r="H83" s="49" t="s">
        <v>59</v>
      </c>
      <c r="I83" s="2">
        <v>10118</v>
      </c>
      <c r="J83" s="2">
        <v>0</v>
      </c>
      <c r="K83" s="2">
        <v>235.30199999999999</v>
      </c>
      <c r="L83" s="1">
        <v>3</v>
      </c>
      <c r="M83" s="76">
        <v>1.14366055377527</v>
      </c>
      <c r="N83" s="49" t="s">
        <v>232</v>
      </c>
    </row>
    <row r="84" spans="1:14" x14ac:dyDescent="0.2">
      <c r="A84" s="1" t="s">
        <v>233</v>
      </c>
      <c r="B84" s="1" t="s">
        <v>234</v>
      </c>
      <c r="C84" s="1" t="s">
        <v>235</v>
      </c>
      <c r="D84" s="9">
        <f>68+26/60</f>
        <v>68.433333333333337</v>
      </c>
      <c r="E84" s="9">
        <v>18.066666666666698</v>
      </c>
      <c r="F84" s="2">
        <v>510</v>
      </c>
      <c r="G84" s="1" t="s">
        <v>19</v>
      </c>
      <c r="H84" s="49" t="s">
        <v>20</v>
      </c>
      <c r="I84" s="2">
        <v>8860.14</v>
      </c>
      <c r="J84" s="2">
        <v>-45</v>
      </c>
      <c r="K84" s="2">
        <v>181.738</v>
      </c>
      <c r="L84" s="1">
        <v>1</v>
      </c>
      <c r="M84" s="76">
        <v>-1.5026014035992199</v>
      </c>
      <c r="N84" s="49" t="s">
        <v>236</v>
      </c>
    </row>
    <row r="85" spans="1:14" x14ac:dyDescent="0.2">
      <c r="A85" s="1" t="s">
        <v>237</v>
      </c>
      <c r="B85" s="1" t="s">
        <v>238</v>
      </c>
      <c r="C85" s="1" t="s">
        <v>239</v>
      </c>
      <c r="D85" s="9">
        <v>61.42</v>
      </c>
      <c r="E85" s="9">
        <v>8.67</v>
      </c>
      <c r="F85" s="2">
        <v>1309</v>
      </c>
      <c r="G85" s="1" t="s">
        <v>19</v>
      </c>
      <c r="H85" s="49" t="s">
        <v>59</v>
      </c>
      <c r="I85" s="2">
        <v>10900.42</v>
      </c>
      <c r="J85" s="2">
        <v>-27</v>
      </c>
      <c r="K85" s="2">
        <v>182.124</v>
      </c>
      <c r="L85" s="1">
        <v>1</v>
      </c>
      <c r="M85" s="76">
        <v>-1.45948688296257</v>
      </c>
      <c r="N85" s="49" t="s">
        <v>240</v>
      </c>
    </row>
    <row r="86" spans="1:14" x14ac:dyDescent="0.2">
      <c r="A86" s="1" t="s">
        <v>241</v>
      </c>
      <c r="B86" s="1" t="s">
        <v>242</v>
      </c>
      <c r="C86" s="1" t="s">
        <v>1313</v>
      </c>
      <c r="D86" s="9">
        <v>67.95</v>
      </c>
      <c r="E86" s="9">
        <v>32.479999999999997</v>
      </c>
      <c r="F86" s="2">
        <v>475.3</v>
      </c>
      <c r="G86" s="1" t="s">
        <v>19</v>
      </c>
      <c r="H86" s="49" t="s">
        <v>1610</v>
      </c>
      <c r="I86" s="2">
        <v>9300</v>
      </c>
      <c r="J86" s="2">
        <v>9.5</v>
      </c>
      <c r="K86" s="2">
        <v>62.774000000000001</v>
      </c>
      <c r="L86" s="2">
        <v>3</v>
      </c>
      <c r="M86" s="76">
        <v>0.84534879966121701</v>
      </c>
      <c r="N86" s="49" t="s">
        <v>243</v>
      </c>
    </row>
    <row r="87" spans="1:14" x14ac:dyDescent="0.2">
      <c r="A87" s="1" t="s">
        <v>244</v>
      </c>
      <c r="B87" s="1" t="s">
        <v>245</v>
      </c>
      <c r="C87" s="1" t="s">
        <v>239</v>
      </c>
      <c r="D87" s="9">
        <f>58+15/60</f>
        <v>58.25</v>
      </c>
      <c r="E87" s="9">
        <v>8</v>
      </c>
      <c r="F87" s="2">
        <v>40</v>
      </c>
      <c r="G87" s="1" t="s">
        <v>19</v>
      </c>
      <c r="H87" s="49" t="s">
        <v>20</v>
      </c>
      <c r="I87" s="2">
        <v>8940.4</v>
      </c>
      <c r="J87" s="2">
        <v>-56.87</v>
      </c>
      <c r="K87" s="2">
        <v>183.61799999999999</v>
      </c>
      <c r="L87" s="1">
        <v>1</v>
      </c>
      <c r="M87" s="76">
        <v>-1.5870706431856401</v>
      </c>
      <c r="N87" s="49" t="s">
        <v>246</v>
      </c>
    </row>
    <row r="88" spans="1:14" x14ac:dyDescent="0.2">
      <c r="A88" s="1" t="s">
        <v>247</v>
      </c>
      <c r="B88" s="1" t="s">
        <v>248</v>
      </c>
      <c r="C88" s="1" t="s">
        <v>235</v>
      </c>
      <c r="D88" s="9">
        <v>69.17</v>
      </c>
      <c r="E88" s="9">
        <v>20.72</v>
      </c>
      <c r="F88" s="2">
        <v>355</v>
      </c>
      <c r="G88" s="1" t="s">
        <v>19</v>
      </c>
      <c r="H88" s="49" t="s">
        <v>20</v>
      </c>
      <c r="I88" s="2">
        <v>10514</v>
      </c>
      <c r="J88" s="2">
        <v>0</v>
      </c>
      <c r="K88" s="2">
        <v>148.08500000000001</v>
      </c>
      <c r="L88" s="1">
        <v>3</v>
      </c>
      <c r="M88" s="76">
        <v>1.68128785322519</v>
      </c>
      <c r="N88" s="49" t="s">
        <v>249</v>
      </c>
    </row>
    <row r="89" spans="1:14" x14ac:dyDescent="0.2">
      <c r="A89" s="1" t="s">
        <v>250</v>
      </c>
      <c r="B89" s="1" t="s">
        <v>251</v>
      </c>
      <c r="C89" s="1" t="s">
        <v>239</v>
      </c>
      <c r="D89" s="9">
        <f>60+2/60</f>
        <v>60.033333333333331</v>
      </c>
      <c r="E89" s="9">
        <f>6+4/60</f>
        <v>6.0666666666666664</v>
      </c>
      <c r="G89" s="1" t="s">
        <v>19</v>
      </c>
      <c r="H89" s="49" t="s">
        <v>252</v>
      </c>
      <c r="I89" s="2">
        <v>11531.7122306769</v>
      </c>
      <c r="J89" s="2">
        <v>-51.005380580000001</v>
      </c>
      <c r="K89" s="2">
        <v>55.686</v>
      </c>
      <c r="L89" s="1">
        <v>2</v>
      </c>
      <c r="M89" s="76">
        <v>-1.58249128895306</v>
      </c>
      <c r="N89" s="49" t="s">
        <v>253</v>
      </c>
    </row>
    <row r="90" spans="1:14" x14ac:dyDescent="0.2">
      <c r="A90" s="1" t="s">
        <v>254</v>
      </c>
      <c r="B90" s="1" t="s">
        <v>255</v>
      </c>
      <c r="C90" s="1" t="s">
        <v>235</v>
      </c>
      <c r="D90" s="9">
        <v>67.22</v>
      </c>
      <c r="E90" s="9">
        <v>15.81</v>
      </c>
      <c r="F90" s="2">
        <v>160</v>
      </c>
      <c r="G90" s="1" t="s">
        <v>256</v>
      </c>
      <c r="H90" s="49" t="s">
        <v>208</v>
      </c>
      <c r="I90" s="2">
        <v>7515.2</v>
      </c>
      <c r="J90" s="2">
        <v>-47</v>
      </c>
      <c r="K90" s="2">
        <v>26.257999999999999</v>
      </c>
      <c r="L90" s="2" t="s">
        <v>78</v>
      </c>
      <c r="M90" s="76" t="s">
        <v>78</v>
      </c>
      <c r="N90" s="49" t="s">
        <v>257</v>
      </c>
    </row>
    <row r="91" spans="1:14" x14ac:dyDescent="0.2">
      <c r="A91" s="1" t="s">
        <v>258</v>
      </c>
      <c r="B91" s="1" t="s">
        <v>259</v>
      </c>
      <c r="C91" s="1" t="s">
        <v>260</v>
      </c>
      <c r="D91" s="9">
        <v>68.412999999999997</v>
      </c>
      <c r="E91" s="9">
        <v>14.802</v>
      </c>
      <c r="F91" s="2">
        <v>23</v>
      </c>
      <c r="G91" s="1" t="s">
        <v>19</v>
      </c>
      <c r="H91" s="49" t="s">
        <v>261</v>
      </c>
      <c r="I91" s="2">
        <v>9495</v>
      </c>
      <c r="J91" s="2">
        <v>381</v>
      </c>
      <c r="K91" s="2">
        <v>26.963999999999999</v>
      </c>
      <c r="L91" s="1">
        <v>3</v>
      </c>
      <c r="M91" s="76">
        <v>2.2410094466345298</v>
      </c>
      <c r="N91" s="49" t="s">
        <v>262</v>
      </c>
    </row>
    <row r="92" spans="1:14" x14ac:dyDescent="0.2">
      <c r="A92" s="1" t="s">
        <v>263</v>
      </c>
      <c r="B92" s="1" t="s">
        <v>264</v>
      </c>
      <c r="C92" s="1" t="s">
        <v>265</v>
      </c>
      <c r="D92" s="9">
        <v>58.55</v>
      </c>
      <c r="E92" s="9">
        <v>13.67</v>
      </c>
      <c r="F92" s="2">
        <v>108</v>
      </c>
      <c r="G92" s="1" t="s">
        <v>19</v>
      </c>
      <c r="H92" s="49" t="s">
        <v>20</v>
      </c>
      <c r="I92" s="2">
        <v>8981.7852010000006</v>
      </c>
      <c r="J92" s="2">
        <v>-49.622715999999997</v>
      </c>
      <c r="K92" s="2">
        <v>100.349</v>
      </c>
      <c r="L92" s="1">
        <v>2</v>
      </c>
      <c r="M92" s="76">
        <v>0.50165999809944095</v>
      </c>
      <c r="N92" s="49" t="s">
        <v>266</v>
      </c>
    </row>
    <row r="93" spans="1:14" x14ac:dyDescent="0.2">
      <c r="A93" s="1" t="s">
        <v>267</v>
      </c>
      <c r="B93" s="1" t="s">
        <v>268</v>
      </c>
      <c r="C93" s="1" t="s">
        <v>239</v>
      </c>
      <c r="D93" s="9">
        <f>59+40/60</f>
        <v>59.666666666666664</v>
      </c>
      <c r="E93" s="9">
        <v>7.55</v>
      </c>
      <c r="F93" s="2">
        <v>890</v>
      </c>
      <c r="G93" s="1" t="s">
        <v>19</v>
      </c>
      <c r="H93" s="49" t="s">
        <v>20</v>
      </c>
      <c r="I93" s="2">
        <v>9020.7099999999991</v>
      </c>
      <c r="J93" s="2">
        <v>-43.5</v>
      </c>
      <c r="K93" s="2">
        <v>215.815</v>
      </c>
      <c r="L93" s="1">
        <v>1</v>
      </c>
      <c r="M93" s="76">
        <v>-1.82519947405325</v>
      </c>
      <c r="N93" s="49" t="s">
        <v>229</v>
      </c>
    </row>
    <row r="94" spans="1:14" x14ac:dyDescent="0.2">
      <c r="A94" s="1" t="s">
        <v>269</v>
      </c>
      <c r="B94" s="1" t="s">
        <v>270</v>
      </c>
      <c r="C94" s="1" t="s">
        <v>235</v>
      </c>
      <c r="D94" s="9">
        <f>68+28/60</f>
        <v>68.466666666666669</v>
      </c>
      <c r="E94" s="9">
        <v>17.75</v>
      </c>
      <c r="F94" s="2">
        <v>290</v>
      </c>
      <c r="G94" s="1" t="s">
        <v>19</v>
      </c>
      <c r="H94" s="49" t="s">
        <v>20</v>
      </c>
      <c r="I94" s="2">
        <v>8968.1</v>
      </c>
      <c r="J94" s="2">
        <v>-42.16</v>
      </c>
      <c r="K94" s="2">
        <v>123.428</v>
      </c>
      <c r="L94" s="1">
        <v>1</v>
      </c>
      <c r="M94" s="76">
        <v>-1.4722089072189599</v>
      </c>
      <c r="N94" s="49" t="s">
        <v>229</v>
      </c>
    </row>
    <row r="95" spans="1:14" x14ac:dyDescent="0.2">
      <c r="A95" s="1" t="s">
        <v>271</v>
      </c>
      <c r="B95" s="1" t="s">
        <v>272</v>
      </c>
      <c r="C95" s="1" t="s">
        <v>265</v>
      </c>
      <c r="D95" s="9">
        <v>60.08</v>
      </c>
      <c r="E95" s="9">
        <v>15.83</v>
      </c>
      <c r="F95" s="2">
        <v>172</v>
      </c>
      <c r="G95" s="1" t="s">
        <v>19</v>
      </c>
      <c r="H95" s="49" t="s">
        <v>1611</v>
      </c>
      <c r="I95" s="2">
        <v>10706.78</v>
      </c>
      <c r="J95" s="2">
        <v>-49.973649999999999</v>
      </c>
      <c r="K95" s="2">
        <v>109.20399999999999</v>
      </c>
      <c r="L95" s="1">
        <v>1</v>
      </c>
      <c r="M95" s="76">
        <v>-0.79170332046538905</v>
      </c>
      <c r="N95" s="49" t="s">
        <v>273</v>
      </c>
    </row>
    <row r="96" spans="1:14" x14ac:dyDescent="0.2">
      <c r="A96" s="1" t="s">
        <v>274</v>
      </c>
      <c r="B96" s="1" t="s">
        <v>275</v>
      </c>
      <c r="C96" s="1" t="s">
        <v>265</v>
      </c>
      <c r="D96" s="9">
        <v>59.83</v>
      </c>
      <c r="E96" s="9">
        <v>16.53</v>
      </c>
      <c r="F96" s="2">
        <v>198</v>
      </c>
      <c r="G96" s="1" t="s">
        <v>19</v>
      </c>
      <c r="H96" s="49" t="s">
        <v>20</v>
      </c>
      <c r="I96" s="2">
        <v>8971.748046875</v>
      </c>
      <c r="J96" s="2">
        <v>0</v>
      </c>
      <c r="K96" s="2">
        <v>124.608</v>
      </c>
      <c r="L96" s="2">
        <v>1</v>
      </c>
      <c r="M96" s="76">
        <v>-6.8090541496834897E-2</v>
      </c>
      <c r="N96" s="49" t="s">
        <v>229</v>
      </c>
    </row>
    <row r="97" spans="1:14" x14ac:dyDescent="0.2">
      <c r="A97" s="1" t="s">
        <v>276</v>
      </c>
      <c r="B97" s="1" t="s">
        <v>277</v>
      </c>
      <c r="C97" s="1" t="s">
        <v>239</v>
      </c>
      <c r="D97" s="9">
        <f>58+32/60</f>
        <v>58.533333333333331</v>
      </c>
      <c r="E97" s="9">
        <v>7.7333333333333298</v>
      </c>
      <c r="F97" s="2">
        <v>180</v>
      </c>
      <c r="G97" s="1" t="s">
        <v>19</v>
      </c>
      <c r="H97" s="49" t="s">
        <v>20</v>
      </c>
      <c r="I97" s="2">
        <v>8914</v>
      </c>
      <c r="J97" s="2">
        <v>-47</v>
      </c>
      <c r="K97" s="2">
        <v>160.018</v>
      </c>
      <c r="L97" s="1">
        <v>1</v>
      </c>
      <c r="M97" s="76">
        <v>-1.8135785289873001</v>
      </c>
      <c r="N97" s="49" t="s">
        <v>246</v>
      </c>
    </row>
    <row r="98" spans="1:14" x14ac:dyDescent="0.2">
      <c r="A98" s="1" t="s">
        <v>278</v>
      </c>
      <c r="B98" s="1" t="s">
        <v>279</v>
      </c>
      <c r="C98" s="1" t="s">
        <v>235</v>
      </c>
      <c r="D98" s="9">
        <f>71+2/60+18/3600</f>
        <v>71.038333333333327</v>
      </c>
      <c r="E98" s="9">
        <f>28+10/60+6.6/3600</f>
        <v>28.168500000000002</v>
      </c>
      <c r="F98" s="2">
        <v>78</v>
      </c>
      <c r="G98" s="1" t="s">
        <v>19</v>
      </c>
      <c r="H98" s="49" t="s">
        <v>20</v>
      </c>
      <c r="I98" s="2">
        <v>9124.107</v>
      </c>
      <c r="J98" s="2">
        <v>-39.756134033203097</v>
      </c>
      <c r="K98" s="2">
        <v>88.97</v>
      </c>
      <c r="L98" s="1">
        <v>3</v>
      </c>
      <c r="M98" s="76">
        <v>2.0063708051129998</v>
      </c>
      <c r="N98" s="49" t="s">
        <v>280</v>
      </c>
    </row>
    <row r="99" spans="1:14" x14ac:dyDescent="0.2">
      <c r="A99" s="1" t="s">
        <v>281</v>
      </c>
      <c r="B99" s="1" t="s">
        <v>282</v>
      </c>
      <c r="C99" s="1" t="s">
        <v>239</v>
      </c>
      <c r="D99" s="9">
        <f>60+50/60</f>
        <v>60.833333333333336</v>
      </c>
      <c r="E99" s="9">
        <v>10.883333333333301</v>
      </c>
      <c r="F99" s="2">
        <v>338</v>
      </c>
      <c r="G99" s="1" t="s">
        <v>19</v>
      </c>
      <c r="H99" s="49" t="s">
        <v>20</v>
      </c>
      <c r="I99" s="2">
        <v>8959</v>
      </c>
      <c r="J99" s="2">
        <v>-23</v>
      </c>
      <c r="K99" s="2">
        <v>136.09100000000001</v>
      </c>
      <c r="L99" s="1">
        <v>1</v>
      </c>
      <c r="M99" s="76">
        <v>-0.82820881524524304</v>
      </c>
      <c r="N99" s="49" t="s">
        <v>246</v>
      </c>
    </row>
    <row r="100" spans="1:14" x14ac:dyDescent="0.2">
      <c r="A100" s="1" t="s">
        <v>284</v>
      </c>
      <c r="B100" s="1" t="s">
        <v>285</v>
      </c>
      <c r="C100" s="1" t="s">
        <v>239</v>
      </c>
      <c r="D100" s="9">
        <v>59.83</v>
      </c>
      <c r="E100" s="9">
        <v>6.98</v>
      </c>
      <c r="F100" s="2">
        <v>1144</v>
      </c>
      <c r="G100" s="1" t="s">
        <v>19</v>
      </c>
      <c r="H100" s="49" t="s">
        <v>1612</v>
      </c>
      <c r="I100" s="2">
        <v>8928.89</v>
      </c>
      <c r="J100" s="2">
        <v>-9.5399999999999991</v>
      </c>
      <c r="K100" s="2">
        <v>137.51400000000001</v>
      </c>
      <c r="L100" s="1">
        <v>1</v>
      </c>
      <c r="M100" s="76">
        <v>-1.96946571314277</v>
      </c>
      <c r="N100" s="49" t="s">
        <v>283</v>
      </c>
    </row>
    <row r="101" spans="1:14" x14ac:dyDescent="0.2">
      <c r="A101" s="1" t="s">
        <v>286</v>
      </c>
      <c r="B101" s="1" t="s">
        <v>287</v>
      </c>
      <c r="C101" s="1" t="s">
        <v>265</v>
      </c>
      <c r="D101" s="9">
        <f>58+28/60</f>
        <v>58.466666666666669</v>
      </c>
      <c r="E101" s="9">
        <f>13+44/60</f>
        <v>13.733333333333333</v>
      </c>
      <c r="F101" s="2">
        <v>111</v>
      </c>
      <c r="G101" s="1" t="s">
        <v>19</v>
      </c>
      <c r="H101" s="49" t="s">
        <v>63</v>
      </c>
      <c r="I101" s="2">
        <v>11491.379310344801</v>
      </c>
      <c r="J101" s="2">
        <v>55.421686746987596</v>
      </c>
      <c r="K101" s="2">
        <v>90.046999999999997</v>
      </c>
      <c r="L101" s="2">
        <v>4</v>
      </c>
      <c r="M101" s="76">
        <v>-0.65691801472515099</v>
      </c>
      <c r="N101" s="49" t="s">
        <v>288</v>
      </c>
    </row>
    <row r="102" spans="1:14" x14ac:dyDescent="0.2">
      <c r="A102" s="1" t="s">
        <v>289</v>
      </c>
      <c r="B102" s="1" t="s">
        <v>290</v>
      </c>
      <c r="C102" s="1" t="s">
        <v>239</v>
      </c>
      <c r="D102" s="9">
        <f>59+46/60</f>
        <v>59.766666666666666</v>
      </c>
      <c r="E102" s="9">
        <v>7.43333333333333</v>
      </c>
      <c r="F102" s="2">
        <v>787</v>
      </c>
      <c r="G102" s="1" t="s">
        <v>19</v>
      </c>
      <c r="H102" s="49" t="s">
        <v>20</v>
      </c>
      <c r="I102" s="2">
        <v>8890.1</v>
      </c>
      <c r="J102" s="2">
        <v>-43.5</v>
      </c>
      <c r="K102" s="2">
        <v>156.72999999999999</v>
      </c>
      <c r="L102" s="1">
        <v>1</v>
      </c>
      <c r="M102" s="76">
        <v>-1.95697627462268</v>
      </c>
      <c r="N102" s="49" t="s">
        <v>229</v>
      </c>
    </row>
    <row r="103" spans="1:14" x14ac:dyDescent="0.2">
      <c r="A103" s="1" t="s">
        <v>291</v>
      </c>
      <c r="B103" s="1" t="s">
        <v>292</v>
      </c>
      <c r="C103" s="1" t="s">
        <v>293</v>
      </c>
      <c r="D103" s="9">
        <v>61.7</v>
      </c>
      <c r="E103" s="9">
        <v>6.76</v>
      </c>
      <c r="F103" s="2">
        <v>1001</v>
      </c>
      <c r="G103" s="1" t="s">
        <v>19</v>
      </c>
      <c r="H103" s="49" t="s">
        <v>294</v>
      </c>
      <c r="I103" s="2">
        <v>10749.2</v>
      </c>
      <c r="J103" s="2">
        <v>0</v>
      </c>
      <c r="K103" s="2">
        <v>26.154</v>
      </c>
      <c r="L103" s="1">
        <v>3</v>
      </c>
      <c r="M103" s="76">
        <v>1.97292717584275</v>
      </c>
      <c r="N103" s="49" t="s">
        <v>295</v>
      </c>
    </row>
    <row r="104" spans="1:14" x14ac:dyDescent="0.2">
      <c r="A104" s="1" t="s">
        <v>296</v>
      </c>
      <c r="B104" s="1" t="s">
        <v>297</v>
      </c>
      <c r="C104" s="1" t="s">
        <v>239</v>
      </c>
      <c r="D104" s="9">
        <f>61+61/60</f>
        <v>62.016666666666666</v>
      </c>
      <c r="E104" s="9">
        <v>10.366666666666699</v>
      </c>
      <c r="F104" s="2">
        <v>591</v>
      </c>
      <c r="G104" s="1" t="s">
        <v>19</v>
      </c>
      <c r="H104" s="49" t="s">
        <v>20</v>
      </c>
      <c r="I104" s="2">
        <v>8829</v>
      </c>
      <c r="J104" s="2">
        <v>-23</v>
      </c>
      <c r="K104" s="2">
        <v>188.34</v>
      </c>
      <c r="L104" s="1">
        <v>1</v>
      </c>
      <c r="M104" s="76">
        <v>-3.1741300827015499</v>
      </c>
      <c r="N104" s="49" t="s">
        <v>229</v>
      </c>
    </row>
    <row r="105" spans="1:14" x14ac:dyDescent="0.2">
      <c r="A105" s="1" t="s">
        <v>298</v>
      </c>
      <c r="B105" s="1" t="s">
        <v>299</v>
      </c>
      <c r="C105" s="1" t="s">
        <v>235</v>
      </c>
      <c r="D105" s="9">
        <v>66</v>
      </c>
      <c r="E105" s="9">
        <v>14.26</v>
      </c>
      <c r="F105" s="2">
        <v>527</v>
      </c>
      <c r="G105" s="1" t="s">
        <v>19</v>
      </c>
      <c r="H105" s="49" t="s">
        <v>252</v>
      </c>
      <c r="I105" s="2">
        <v>9090.2272727</v>
      </c>
      <c r="J105" s="2">
        <v>-50</v>
      </c>
      <c r="K105" s="2">
        <v>29.58</v>
      </c>
      <c r="L105" s="1">
        <v>4</v>
      </c>
      <c r="M105" s="76">
        <v>-4.1757010709210798</v>
      </c>
      <c r="N105" s="49" t="s">
        <v>300</v>
      </c>
    </row>
    <row r="106" spans="1:14" x14ac:dyDescent="0.2">
      <c r="A106" s="1" t="s">
        <v>301</v>
      </c>
      <c r="B106" s="1" t="s">
        <v>302</v>
      </c>
      <c r="C106" s="1" t="s">
        <v>265</v>
      </c>
      <c r="D106" s="9">
        <v>61.82</v>
      </c>
      <c r="E106" s="9">
        <v>14.58</v>
      </c>
      <c r="F106" s="2">
        <v>235</v>
      </c>
      <c r="G106" s="1" t="s">
        <v>19</v>
      </c>
      <c r="H106" s="49" t="s">
        <v>20</v>
      </c>
      <c r="I106" s="2">
        <v>8942.0280000000002</v>
      </c>
      <c r="J106" s="2">
        <v>-48.187519999999999</v>
      </c>
      <c r="K106" s="2">
        <v>87.284000000000006</v>
      </c>
      <c r="L106" s="1">
        <v>3</v>
      </c>
      <c r="M106" s="76">
        <v>1.56056862764015</v>
      </c>
      <c r="N106" s="49" t="s">
        <v>229</v>
      </c>
    </row>
    <row r="107" spans="1:14" ht="31" x14ac:dyDescent="0.2">
      <c r="A107" s="1" t="s">
        <v>303</v>
      </c>
      <c r="B107" s="1" t="s">
        <v>304</v>
      </c>
      <c r="C107" s="1" t="s">
        <v>265</v>
      </c>
      <c r="D107" s="9">
        <f>59+51/60</f>
        <v>59.85</v>
      </c>
      <c r="E107" s="9">
        <f>12+17.3/60</f>
        <v>12.288333333333334</v>
      </c>
      <c r="F107" s="2">
        <v>112</v>
      </c>
      <c r="G107" s="1" t="s">
        <v>305</v>
      </c>
      <c r="H107" s="49" t="s">
        <v>1613</v>
      </c>
      <c r="I107" s="2">
        <v>9758.6180904522607</v>
      </c>
      <c r="J107" s="2">
        <v>226.25</v>
      </c>
      <c r="K107" s="2">
        <v>45.177</v>
      </c>
      <c r="L107" s="1">
        <v>4</v>
      </c>
      <c r="M107" s="76">
        <v>0.96772498383942995</v>
      </c>
      <c r="N107" s="49" t="s">
        <v>306</v>
      </c>
    </row>
    <row r="108" spans="1:14" x14ac:dyDescent="0.2">
      <c r="A108" s="1" t="s">
        <v>307</v>
      </c>
      <c r="B108" s="1" t="s">
        <v>308</v>
      </c>
      <c r="C108" s="1" t="s">
        <v>1313</v>
      </c>
      <c r="D108" s="9">
        <v>68.8</v>
      </c>
      <c r="E108" s="9">
        <v>35.32</v>
      </c>
      <c r="F108" s="2">
        <v>131</v>
      </c>
      <c r="G108" s="1" t="s">
        <v>19</v>
      </c>
      <c r="H108" s="49" t="s">
        <v>20</v>
      </c>
      <c r="I108" s="2">
        <v>8997</v>
      </c>
      <c r="J108" s="2">
        <v>0</v>
      </c>
      <c r="K108" s="2">
        <v>147.49199999999999</v>
      </c>
      <c r="L108" s="1">
        <v>3</v>
      </c>
      <c r="M108" s="76">
        <v>-0.54560911467635897</v>
      </c>
      <c r="N108" s="49" t="s">
        <v>309</v>
      </c>
    </row>
    <row r="109" spans="1:14" x14ac:dyDescent="0.2">
      <c r="A109" s="1" t="s">
        <v>310</v>
      </c>
      <c r="B109" s="1" t="s">
        <v>311</v>
      </c>
      <c r="C109" s="1" t="s">
        <v>225</v>
      </c>
      <c r="D109" s="9">
        <v>61.48</v>
      </c>
      <c r="E109" s="9">
        <v>26.07</v>
      </c>
      <c r="F109" s="2">
        <v>136.6</v>
      </c>
      <c r="G109" s="1" t="s">
        <v>19</v>
      </c>
      <c r="H109" s="49" t="s">
        <v>20</v>
      </c>
      <c r="I109" s="2">
        <v>8995.3637259999996</v>
      </c>
      <c r="J109" s="2">
        <v>49.043087</v>
      </c>
      <c r="K109" s="2">
        <v>73.936999999999998</v>
      </c>
      <c r="L109" s="1">
        <v>1</v>
      </c>
      <c r="M109" s="76">
        <v>-1.7383861876381901</v>
      </c>
      <c r="N109" s="49" t="s">
        <v>312</v>
      </c>
    </row>
    <row r="110" spans="1:14" ht="31" x14ac:dyDescent="0.2">
      <c r="A110" s="1" t="s">
        <v>313</v>
      </c>
      <c r="B110" s="1">
        <v>850</v>
      </c>
      <c r="C110" s="1" t="s">
        <v>314</v>
      </c>
      <c r="D110" s="9">
        <v>68.37</v>
      </c>
      <c r="E110" s="9">
        <v>19.12</v>
      </c>
      <c r="F110" s="2">
        <v>850</v>
      </c>
      <c r="G110" s="1" t="s">
        <v>19</v>
      </c>
      <c r="H110" s="49" t="s">
        <v>1614</v>
      </c>
      <c r="I110" s="2">
        <v>9474.8729879999992</v>
      </c>
      <c r="J110" s="2">
        <v>-50</v>
      </c>
      <c r="K110" s="2">
        <v>79.373999999999995</v>
      </c>
      <c r="L110" s="1">
        <v>4</v>
      </c>
      <c r="M110" s="76">
        <v>2.2979231267778601</v>
      </c>
      <c r="N110" s="49" t="s">
        <v>315</v>
      </c>
    </row>
    <row r="111" spans="1:14" x14ac:dyDescent="0.2">
      <c r="A111" s="1" t="s">
        <v>316</v>
      </c>
      <c r="B111" s="1" t="s">
        <v>316</v>
      </c>
      <c r="C111" s="1" t="s">
        <v>314</v>
      </c>
      <c r="D111" s="9">
        <v>69</v>
      </c>
      <c r="E111" s="9">
        <v>25</v>
      </c>
      <c r="G111" s="1" t="s">
        <v>317</v>
      </c>
      <c r="H111" s="49" t="s">
        <v>318</v>
      </c>
      <c r="I111" s="2">
        <v>7450</v>
      </c>
      <c r="J111" s="2">
        <v>-55</v>
      </c>
      <c r="K111" s="2">
        <v>1</v>
      </c>
      <c r="L111" s="2" t="s">
        <v>78</v>
      </c>
      <c r="M111" s="76" t="s">
        <v>78</v>
      </c>
      <c r="N111" s="49" t="s">
        <v>319</v>
      </c>
    </row>
    <row r="112" spans="1:14" x14ac:dyDescent="0.2">
      <c r="A112" s="1" t="s">
        <v>320</v>
      </c>
      <c r="B112" s="1" t="s">
        <v>321</v>
      </c>
      <c r="C112" s="1" t="s">
        <v>235</v>
      </c>
      <c r="D112" s="9">
        <f>68+31/60</f>
        <v>68.516666666666666</v>
      </c>
      <c r="E112" s="9">
        <v>14.866666666666699</v>
      </c>
      <c r="F112" s="2">
        <v>106</v>
      </c>
      <c r="G112" s="1" t="s">
        <v>19</v>
      </c>
      <c r="H112" s="49" t="s">
        <v>20</v>
      </c>
      <c r="I112" s="2">
        <v>8779.86</v>
      </c>
      <c r="J112" s="2">
        <v>-45</v>
      </c>
      <c r="K112" s="2">
        <v>238.51</v>
      </c>
      <c r="L112" s="1">
        <v>1</v>
      </c>
      <c r="M112" s="76">
        <v>-1.3993243604589001</v>
      </c>
      <c r="N112" s="49" t="s">
        <v>229</v>
      </c>
    </row>
    <row r="113" spans="1:14" x14ac:dyDescent="0.2">
      <c r="A113" s="1" t="s">
        <v>322</v>
      </c>
      <c r="B113" s="1" t="s">
        <v>323</v>
      </c>
      <c r="C113" s="1" t="s">
        <v>235</v>
      </c>
      <c r="D113" s="9">
        <f>68+39/60</f>
        <v>68.650000000000006</v>
      </c>
      <c r="E113" s="9">
        <v>16.383333333333301</v>
      </c>
      <c r="F113" s="2">
        <v>200</v>
      </c>
      <c r="G113" s="1" t="s">
        <v>19</v>
      </c>
      <c r="H113" s="49" t="s">
        <v>20</v>
      </c>
      <c r="I113" s="2">
        <v>8893.76</v>
      </c>
      <c r="J113" s="2">
        <v>-42.4</v>
      </c>
      <c r="K113" s="2">
        <v>190.131</v>
      </c>
      <c r="L113" s="1">
        <v>1</v>
      </c>
      <c r="M113" s="76">
        <v>-2.1015261549332802</v>
      </c>
      <c r="N113" s="49" t="s">
        <v>229</v>
      </c>
    </row>
    <row r="114" spans="1:14" x14ac:dyDescent="0.2">
      <c r="A114" s="1" t="s">
        <v>324</v>
      </c>
      <c r="B114" s="1" t="s">
        <v>325</v>
      </c>
      <c r="C114" s="1" t="s">
        <v>326</v>
      </c>
      <c r="D114" s="9">
        <v>69.179299999999998</v>
      </c>
      <c r="E114" s="9">
        <v>17.394300000000001</v>
      </c>
      <c r="F114" s="2">
        <v>170</v>
      </c>
      <c r="G114" s="1" t="s">
        <v>19</v>
      </c>
      <c r="H114" s="49" t="s">
        <v>139</v>
      </c>
      <c r="I114" s="2">
        <v>10956.4253118658</v>
      </c>
      <c r="J114" s="2">
        <v>1100.5955947617999</v>
      </c>
      <c r="K114" s="2">
        <v>23.466000000000001</v>
      </c>
      <c r="L114" s="1">
        <v>3</v>
      </c>
      <c r="M114" s="76">
        <v>2.9841343694086699</v>
      </c>
      <c r="N114" s="49" t="s">
        <v>327</v>
      </c>
    </row>
    <row r="115" spans="1:14" x14ac:dyDescent="0.2">
      <c r="A115" s="1" t="s">
        <v>328</v>
      </c>
      <c r="B115" s="1" t="s">
        <v>329</v>
      </c>
      <c r="C115" s="1" t="s">
        <v>225</v>
      </c>
      <c r="D115" s="9">
        <v>61.8</v>
      </c>
      <c r="E115" s="9">
        <v>24.7</v>
      </c>
      <c r="F115" s="2">
        <v>103.7</v>
      </c>
      <c r="G115" s="1" t="s">
        <v>19</v>
      </c>
      <c r="H115" s="49" t="s">
        <v>20</v>
      </c>
      <c r="I115" s="2">
        <v>8998</v>
      </c>
      <c r="J115" s="2">
        <v>51</v>
      </c>
      <c r="K115" s="2">
        <v>37.435000000000002</v>
      </c>
      <c r="L115" s="2" t="s">
        <v>78</v>
      </c>
      <c r="M115" s="76" t="s">
        <v>78</v>
      </c>
      <c r="N115" s="49" t="s">
        <v>330</v>
      </c>
    </row>
    <row r="116" spans="1:14" x14ac:dyDescent="0.2">
      <c r="A116" s="1" t="s">
        <v>331</v>
      </c>
      <c r="B116" s="1" t="s">
        <v>332</v>
      </c>
      <c r="C116" s="1" t="s">
        <v>333</v>
      </c>
      <c r="D116" s="9">
        <f>61+56/60</f>
        <v>61.93333333333333</v>
      </c>
      <c r="E116" s="9">
        <f>6+52/60</f>
        <v>6.8666666666666671</v>
      </c>
      <c r="F116" s="2">
        <v>938</v>
      </c>
      <c r="G116" s="1" t="s">
        <v>19</v>
      </c>
      <c r="H116" s="49" t="s">
        <v>1768</v>
      </c>
      <c r="I116" s="2">
        <v>7775.3671826003601</v>
      </c>
      <c r="J116" s="2">
        <v>-19.749953825321398</v>
      </c>
      <c r="K116" s="2">
        <v>50.290999999999997</v>
      </c>
      <c r="L116" s="1">
        <v>3</v>
      </c>
      <c r="M116" s="76">
        <v>2.6385129756355101</v>
      </c>
      <c r="N116" s="49" t="s">
        <v>334</v>
      </c>
    </row>
    <row r="117" spans="1:14" x14ac:dyDescent="0.2">
      <c r="A117" s="1" t="s">
        <v>335</v>
      </c>
      <c r="B117" s="1" t="s">
        <v>336</v>
      </c>
      <c r="C117" s="1" t="s">
        <v>314</v>
      </c>
      <c r="D117" s="9">
        <v>68.33</v>
      </c>
      <c r="E117" s="9">
        <v>18.78</v>
      </c>
      <c r="F117" s="2">
        <v>409</v>
      </c>
      <c r="G117" s="1" t="s">
        <v>19</v>
      </c>
      <c r="H117" s="49" t="s">
        <v>217</v>
      </c>
      <c r="I117" s="2">
        <v>8855</v>
      </c>
      <c r="J117" s="2">
        <v>111</v>
      </c>
      <c r="K117" s="2">
        <v>218.6</v>
      </c>
      <c r="L117" s="1">
        <v>3</v>
      </c>
      <c r="M117" s="76">
        <v>2.4712785193165998</v>
      </c>
      <c r="N117" s="49" t="s">
        <v>337</v>
      </c>
    </row>
    <row r="118" spans="1:14" x14ac:dyDescent="0.2">
      <c r="A118" s="1" t="s">
        <v>338</v>
      </c>
      <c r="B118" s="1" t="s">
        <v>339</v>
      </c>
      <c r="C118" s="1" t="s">
        <v>314</v>
      </c>
      <c r="D118" s="9">
        <v>68.37</v>
      </c>
      <c r="E118" s="9">
        <v>18.7</v>
      </c>
      <c r="F118" s="2">
        <v>999</v>
      </c>
      <c r="G118" s="1" t="s">
        <v>19</v>
      </c>
      <c r="H118" s="49" t="s">
        <v>1615</v>
      </c>
      <c r="I118" s="2">
        <v>9476.7800000000007</v>
      </c>
      <c r="J118" s="2">
        <v>-48</v>
      </c>
      <c r="K118" s="2">
        <v>139.434</v>
      </c>
      <c r="L118" s="1">
        <v>3</v>
      </c>
      <c r="M118" s="76">
        <v>-0.51016329753952905</v>
      </c>
      <c r="N118" s="49" t="s">
        <v>340</v>
      </c>
    </row>
    <row r="119" spans="1:14" x14ac:dyDescent="0.2">
      <c r="A119" s="1" t="s">
        <v>341</v>
      </c>
      <c r="B119" s="1" t="s">
        <v>342</v>
      </c>
      <c r="C119" s="1" t="s">
        <v>293</v>
      </c>
      <c r="D119" s="9">
        <v>59.82</v>
      </c>
      <c r="E119" s="9">
        <v>6</v>
      </c>
      <c r="F119" s="2">
        <v>570</v>
      </c>
      <c r="G119" s="1" t="s">
        <v>19</v>
      </c>
      <c r="H119" s="49" t="s">
        <v>1612</v>
      </c>
      <c r="I119" s="2">
        <v>11531.7122306769</v>
      </c>
      <c r="J119" s="2">
        <v>-51.0053805843256</v>
      </c>
      <c r="K119" s="2">
        <v>146.61699999999999</v>
      </c>
      <c r="L119" s="1">
        <v>3</v>
      </c>
      <c r="M119" s="76">
        <v>1.18763369996321</v>
      </c>
      <c r="N119" s="49" t="s">
        <v>343</v>
      </c>
    </row>
    <row r="120" spans="1:14" x14ac:dyDescent="0.2">
      <c r="A120" s="1" t="s">
        <v>344</v>
      </c>
      <c r="B120" s="1" t="s">
        <v>345</v>
      </c>
      <c r="C120" s="1" t="s">
        <v>346</v>
      </c>
      <c r="D120" s="9">
        <f>58+35/60</f>
        <v>58.583333333333336</v>
      </c>
      <c r="E120" s="9">
        <f>26+39/60</f>
        <v>26.65</v>
      </c>
      <c r="F120" s="2">
        <v>52.5</v>
      </c>
      <c r="G120" s="1" t="s">
        <v>19</v>
      </c>
      <c r="H120" s="49" t="s">
        <v>20</v>
      </c>
      <c r="I120" s="2">
        <v>8923</v>
      </c>
      <c r="J120" s="2">
        <v>0</v>
      </c>
      <c r="K120" s="2">
        <v>100.258</v>
      </c>
      <c r="L120" s="1">
        <v>1</v>
      </c>
      <c r="M120" s="76">
        <v>-6.9143525063573002E-3</v>
      </c>
      <c r="N120" s="49" t="s">
        <v>347</v>
      </c>
    </row>
    <row r="121" spans="1:14" x14ac:dyDescent="0.2">
      <c r="A121" s="1" t="s">
        <v>348</v>
      </c>
      <c r="B121" s="1" t="s">
        <v>349</v>
      </c>
      <c r="C121" s="1" t="s">
        <v>239</v>
      </c>
      <c r="D121" s="9">
        <v>62.27</v>
      </c>
      <c r="E121" s="9">
        <v>9.83</v>
      </c>
      <c r="F121" s="2">
        <v>1169</v>
      </c>
      <c r="G121" s="1" t="s">
        <v>19</v>
      </c>
      <c r="H121" s="49" t="s">
        <v>59</v>
      </c>
      <c r="I121" s="2">
        <v>10868.920564939401</v>
      </c>
      <c r="J121" s="2">
        <v>-49</v>
      </c>
      <c r="K121" s="2">
        <v>158.23099999999999</v>
      </c>
      <c r="L121" s="2">
        <v>3</v>
      </c>
      <c r="M121" s="76">
        <v>1.2667302766709001</v>
      </c>
      <c r="N121" s="49" t="s">
        <v>240</v>
      </c>
    </row>
    <row r="122" spans="1:14" x14ac:dyDescent="0.2">
      <c r="A122" s="1" t="s">
        <v>350</v>
      </c>
      <c r="B122" s="1" t="s">
        <v>351</v>
      </c>
      <c r="C122" s="1" t="s">
        <v>239</v>
      </c>
      <c r="D122" s="9">
        <f>58+19/60</f>
        <v>58.31666666666667</v>
      </c>
      <c r="E122" s="9">
        <v>7.7833333333333297</v>
      </c>
      <c r="F122" s="2">
        <v>245</v>
      </c>
      <c r="G122" s="1" t="s">
        <v>19</v>
      </c>
      <c r="H122" s="49" t="s">
        <v>20</v>
      </c>
      <c r="I122" s="2">
        <v>8930.5300000000007</v>
      </c>
      <c r="J122" s="2">
        <v>-82.08</v>
      </c>
      <c r="K122" s="2">
        <v>108.586</v>
      </c>
      <c r="L122" s="1">
        <v>1</v>
      </c>
      <c r="M122" s="76">
        <v>-1.92437751955439</v>
      </c>
      <c r="N122" s="49" t="s">
        <v>229</v>
      </c>
    </row>
    <row r="123" spans="1:14" x14ac:dyDescent="0.2">
      <c r="A123" s="1" t="s">
        <v>352</v>
      </c>
      <c r="B123" s="1" t="s">
        <v>353</v>
      </c>
      <c r="C123" s="1" t="s">
        <v>346</v>
      </c>
      <c r="D123" s="9">
        <v>59.17</v>
      </c>
      <c r="E123" s="9">
        <v>24.43</v>
      </c>
      <c r="F123" s="2">
        <v>43</v>
      </c>
      <c r="G123" s="1" t="s">
        <v>19</v>
      </c>
      <c r="H123" s="49" t="s">
        <v>20</v>
      </c>
      <c r="I123" s="2">
        <v>10012.5</v>
      </c>
      <c r="J123" s="2">
        <v>0</v>
      </c>
      <c r="K123" s="2">
        <v>294.48500000000001</v>
      </c>
      <c r="L123" s="1">
        <v>1</v>
      </c>
      <c r="M123" s="76">
        <v>-1.0551926968655301</v>
      </c>
      <c r="N123" s="49" t="s">
        <v>347</v>
      </c>
    </row>
    <row r="124" spans="1:14" x14ac:dyDescent="0.2">
      <c r="A124" s="1" t="s">
        <v>354</v>
      </c>
      <c r="B124" s="1" t="s">
        <v>355</v>
      </c>
      <c r="C124" s="1" t="s">
        <v>235</v>
      </c>
      <c r="D124" s="9">
        <f>68+14/60+20/3600</f>
        <v>68.238888888888894</v>
      </c>
      <c r="E124" s="9">
        <f>13+47/60+2/3600</f>
        <v>13.783888888888889</v>
      </c>
      <c r="F124" s="2">
        <v>40</v>
      </c>
      <c r="G124" s="1" t="s">
        <v>305</v>
      </c>
      <c r="H124" s="49" t="s">
        <v>356</v>
      </c>
      <c r="I124" s="2">
        <v>8793</v>
      </c>
      <c r="J124" s="2">
        <v>-158</v>
      </c>
      <c r="K124" s="2">
        <v>30.24</v>
      </c>
      <c r="L124" s="2">
        <v>4</v>
      </c>
      <c r="M124" s="79">
        <v>3.4326804727620099</v>
      </c>
      <c r="N124" s="49" t="s">
        <v>357</v>
      </c>
    </row>
    <row r="125" spans="1:14" x14ac:dyDescent="0.2">
      <c r="A125" s="1" t="s">
        <v>358</v>
      </c>
      <c r="B125" s="1" t="s">
        <v>359</v>
      </c>
      <c r="C125" s="1" t="s">
        <v>360</v>
      </c>
      <c r="D125" s="9">
        <v>62.25</v>
      </c>
      <c r="E125" s="9">
        <v>27.67</v>
      </c>
      <c r="F125" s="2">
        <v>97.5</v>
      </c>
      <c r="G125" s="1" t="s">
        <v>19</v>
      </c>
      <c r="H125" s="49" t="s">
        <v>447</v>
      </c>
      <c r="I125" s="2">
        <v>9878.8037000000004</v>
      </c>
      <c r="J125" s="2">
        <v>127.9742</v>
      </c>
      <c r="K125" s="2">
        <v>70.658000000000001</v>
      </c>
      <c r="L125" s="1">
        <v>3</v>
      </c>
      <c r="M125" s="76">
        <v>1.6358386958578</v>
      </c>
      <c r="N125" s="49" t="s">
        <v>361</v>
      </c>
    </row>
    <row r="126" spans="1:14" x14ac:dyDescent="0.2">
      <c r="A126" s="1" t="s">
        <v>362</v>
      </c>
      <c r="B126" s="1" t="s">
        <v>363</v>
      </c>
      <c r="C126" s="1" t="s">
        <v>235</v>
      </c>
      <c r="D126" s="9">
        <f>69+6.5/60</f>
        <v>69.108333333333334</v>
      </c>
      <c r="E126" s="9">
        <f>15+56.5/60</f>
        <v>15.941666666666666</v>
      </c>
      <c r="F126" s="2">
        <f>(13.3-11.8)/2</f>
        <v>0.75</v>
      </c>
      <c r="G126" s="1" t="s">
        <v>305</v>
      </c>
      <c r="H126" s="49" t="s">
        <v>356</v>
      </c>
      <c r="I126" s="2">
        <v>6852</v>
      </c>
      <c r="J126" s="2">
        <v>455</v>
      </c>
      <c r="K126" s="2">
        <v>49.591999999999999</v>
      </c>
      <c r="L126" s="2">
        <v>4</v>
      </c>
      <c r="M126" s="79">
        <v>3.80804375887254</v>
      </c>
      <c r="N126" s="49" t="s">
        <v>364</v>
      </c>
    </row>
    <row r="127" spans="1:14" x14ac:dyDescent="0.2">
      <c r="A127" s="1" t="s">
        <v>365</v>
      </c>
      <c r="B127" s="1" t="s">
        <v>366</v>
      </c>
      <c r="C127" s="1" t="s">
        <v>314</v>
      </c>
      <c r="D127" s="9">
        <v>67.37</v>
      </c>
      <c r="E127" s="9">
        <v>18.07</v>
      </c>
      <c r="F127" s="2">
        <v>826</v>
      </c>
      <c r="G127" s="1" t="s">
        <v>19</v>
      </c>
      <c r="H127" s="49" t="s">
        <v>1616</v>
      </c>
      <c r="I127" s="2">
        <v>9359.7636239159692</v>
      </c>
      <c r="J127" s="2">
        <v>0</v>
      </c>
      <c r="K127" s="2">
        <v>5</v>
      </c>
      <c r="L127" s="1">
        <v>2</v>
      </c>
      <c r="M127" s="76">
        <v>2.6504562904549299E-2</v>
      </c>
      <c r="N127" s="49" t="s">
        <v>367</v>
      </c>
    </row>
    <row r="128" spans="1:14" x14ac:dyDescent="0.2">
      <c r="A128" s="1" t="s">
        <v>368</v>
      </c>
      <c r="B128" s="1" t="s">
        <v>369</v>
      </c>
      <c r="C128" s="1" t="s">
        <v>235</v>
      </c>
      <c r="D128" s="9">
        <v>66.62</v>
      </c>
      <c r="E128" s="9">
        <v>13.68</v>
      </c>
      <c r="F128" s="2">
        <v>280</v>
      </c>
      <c r="G128" s="1" t="s">
        <v>256</v>
      </c>
      <c r="H128" s="49" t="s">
        <v>208</v>
      </c>
      <c r="I128" s="2">
        <v>9955.2216490991996</v>
      </c>
      <c r="J128" s="2">
        <v>136.50295282948301</v>
      </c>
      <c r="K128" s="2">
        <v>41.783999999999999</v>
      </c>
      <c r="L128" s="2" t="s">
        <v>78</v>
      </c>
      <c r="M128" s="76" t="s">
        <v>78</v>
      </c>
      <c r="N128" s="49" t="s">
        <v>370</v>
      </c>
    </row>
    <row r="129" spans="1:14" x14ac:dyDescent="0.2">
      <c r="A129" s="1" t="s">
        <v>371</v>
      </c>
      <c r="B129" s="1" t="s">
        <v>372</v>
      </c>
      <c r="C129" s="1" t="s">
        <v>265</v>
      </c>
      <c r="D129" s="9">
        <v>63.12</v>
      </c>
      <c r="E129" s="9">
        <v>12.32</v>
      </c>
      <c r="F129" s="2">
        <v>887</v>
      </c>
      <c r="G129" s="1" t="s">
        <v>19</v>
      </c>
      <c r="H129" s="49" t="s">
        <v>1617</v>
      </c>
      <c r="I129" s="2">
        <v>10470</v>
      </c>
      <c r="J129" s="2">
        <v>41.651119402984399</v>
      </c>
      <c r="K129" s="2">
        <v>186.221</v>
      </c>
      <c r="L129" s="1">
        <v>4</v>
      </c>
      <c r="M129" s="76">
        <v>1.5777516807613601</v>
      </c>
      <c r="N129" s="49" t="s">
        <v>373</v>
      </c>
    </row>
    <row r="130" spans="1:14" x14ac:dyDescent="0.2">
      <c r="A130" s="1" t="s">
        <v>374</v>
      </c>
      <c r="B130" s="1" t="s">
        <v>375</v>
      </c>
      <c r="C130" s="1" t="s">
        <v>265</v>
      </c>
      <c r="D130" s="9">
        <f>60+12.5/60</f>
        <v>60.208333333333336</v>
      </c>
      <c r="E130" s="9">
        <f>13+28/60</f>
        <v>13.466666666666667</v>
      </c>
      <c r="F130" s="2">
        <v>250</v>
      </c>
      <c r="G130" s="1" t="s">
        <v>305</v>
      </c>
      <c r="H130" s="49" t="s">
        <v>356</v>
      </c>
      <c r="I130" s="2">
        <v>7961.4189189189201</v>
      </c>
      <c r="J130" s="2">
        <v>21.6</v>
      </c>
      <c r="K130" s="2">
        <v>71.53</v>
      </c>
      <c r="L130" s="1">
        <v>2</v>
      </c>
      <c r="M130" s="76">
        <v>0.329918526028181</v>
      </c>
      <c r="N130" s="49" t="s">
        <v>306</v>
      </c>
    </row>
    <row r="131" spans="1:14" x14ac:dyDescent="0.2">
      <c r="A131" s="1" t="s">
        <v>376</v>
      </c>
      <c r="B131" s="1" t="s">
        <v>377</v>
      </c>
      <c r="C131" s="1" t="s">
        <v>235</v>
      </c>
      <c r="D131" s="9">
        <v>66.44</v>
      </c>
      <c r="E131" s="9">
        <v>14.05</v>
      </c>
      <c r="F131" s="2">
        <v>243</v>
      </c>
      <c r="G131" s="1" t="s">
        <v>19</v>
      </c>
      <c r="H131" s="49" t="s">
        <v>20</v>
      </c>
      <c r="I131" s="2">
        <v>8750.3077973499003</v>
      </c>
      <c r="J131" s="2">
        <v>-17.559845677871198</v>
      </c>
      <c r="K131" s="2">
        <v>108.245</v>
      </c>
      <c r="L131" s="1">
        <v>3</v>
      </c>
      <c r="M131" s="76">
        <v>2.1791386001079198</v>
      </c>
      <c r="N131" s="49" t="s">
        <v>378</v>
      </c>
    </row>
    <row r="132" spans="1:14" x14ac:dyDescent="0.2">
      <c r="A132" s="1" t="s">
        <v>379</v>
      </c>
      <c r="B132" s="1" t="s">
        <v>380</v>
      </c>
      <c r="C132" s="1" t="s">
        <v>381</v>
      </c>
      <c r="D132" s="9">
        <f>64+16/60</f>
        <v>64.266666666666666</v>
      </c>
      <c r="E132" s="9">
        <v>19.55</v>
      </c>
      <c r="F132" s="2">
        <v>257</v>
      </c>
      <c r="G132" s="1" t="s">
        <v>19</v>
      </c>
      <c r="H132" s="49" t="s">
        <v>208</v>
      </c>
      <c r="I132" s="2">
        <v>9654.7950325121892</v>
      </c>
      <c r="J132" s="2">
        <v>28.888850000000001</v>
      </c>
      <c r="K132" s="2">
        <v>196.447</v>
      </c>
      <c r="L132" s="1">
        <v>4</v>
      </c>
      <c r="M132" s="76">
        <v>2.0912439122956901</v>
      </c>
      <c r="N132" s="49" t="s">
        <v>382</v>
      </c>
    </row>
    <row r="133" spans="1:14" x14ac:dyDescent="0.2">
      <c r="A133" s="1" t="s">
        <v>383</v>
      </c>
      <c r="B133" s="1" t="s">
        <v>384</v>
      </c>
      <c r="C133" s="1" t="s">
        <v>239</v>
      </c>
      <c r="D133" s="9">
        <f>63+21/60</f>
        <v>63.35</v>
      </c>
      <c r="E133" s="9">
        <v>9.5500000000000007</v>
      </c>
      <c r="F133" s="2">
        <v>183</v>
      </c>
      <c r="G133" s="1" t="s">
        <v>19</v>
      </c>
      <c r="H133" s="49" t="s">
        <v>20</v>
      </c>
      <c r="I133" s="2">
        <v>8938</v>
      </c>
      <c r="J133" s="2">
        <v>-37</v>
      </c>
      <c r="K133" s="2">
        <v>183.16300000000001</v>
      </c>
      <c r="L133" s="1">
        <v>1</v>
      </c>
      <c r="M133" s="76">
        <v>-0.25622707825680102</v>
      </c>
      <c r="N133" s="49" t="s">
        <v>229</v>
      </c>
    </row>
    <row r="134" spans="1:14" x14ac:dyDescent="0.2">
      <c r="A134" s="1" t="s">
        <v>385</v>
      </c>
      <c r="B134" s="1" t="s">
        <v>386</v>
      </c>
      <c r="C134" s="1" t="s">
        <v>239</v>
      </c>
      <c r="D134" s="9">
        <f>63+3/60</f>
        <v>63.05</v>
      </c>
      <c r="E134" s="9">
        <v>9.4166666666666696</v>
      </c>
      <c r="F134" s="2">
        <v>464</v>
      </c>
      <c r="G134" s="1" t="s">
        <v>19</v>
      </c>
      <c r="H134" s="49" t="s">
        <v>20</v>
      </c>
      <c r="I134" s="2">
        <v>8988</v>
      </c>
      <c r="J134" s="2">
        <v>-50</v>
      </c>
      <c r="K134" s="2">
        <v>122.13500000000001</v>
      </c>
      <c r="L134" s="1">
        <v>1</v>
      </c>
      <c r="M134" s="76">
        <v>-1.2571135383311001</v>
      </c>
      <c r="N134" s="49" t="s">
        <v>229</v>
      </c>
    </row>
    <row r="135" spans="1:14" x14ac:dyDescent="0.2">
      <c r="A135" s="1" t="s">
        <v>387</v>
      </c>
      <c r="B135" s="1" t="s">
        <v>388</v>
      </c>
      <c r="C135" s="1" t="s">
        <v>314</v>
      </c>
      <c r="D135" s="9">
        <v>68.33</v>
      </c>
      <c r="E135" s="9">
        <v>18.7</v>
      </c>
      <c r="F135" s="2">
        <v>560</v>
      </c>
      <c r="G135" s="1" t="s">
        <v>19</v>
      </c>
      <c r="H135" s="49" t="s">
        <v>1618</v>
      </c>
      <c r="I135" s="2">
        <v>10237.5</v>
      </c>
      <c r="J135" s="2">
        <v>39.4</v>
      </c>
      <c r="K135" s="2">
        <v>172.648</v>
      </c>
      <c r="L135" s="1">
        <v>3</v>
      </c>
      <c r="M135" s="76">
        <v>1.2620950570565601</v>
      </c>
      <c r="N135" s="49" t="s">
        <v>389</v>
      </c>
    </row>
    <row r="136" spans="1:14" x14ac:dyDescent="0.2">
      <c r="A136" s="1" t="s">
        <v>390</v>
      </c>
      <c r="B136" s="1" t="s">
        <v>391</v>
      </c>
      <c r="C136" s="1" t="s">
        <v>314</v>
      </c>
      <c r="D136" s="9">
        <v>68</v>
      </c>
      <c r="E136" s="9">
        <v>20</v>
      </c>
      <c r="F136" s="2">
        <v>400</v>
      </c>
      <c r="G136" s="1" t="s">
        <v>317</v>
      </c>
      <c r="H136" s="49" t="s">
        <v>318</v>
      </c>
      <c r="I136" s="2">
        <v>7356</v>
      </c>
      <c r="J136" s="2">
        <v>-47</v>
      </c>
      <c r="K136" s="2">
        <v>1</v>
      </c>
      <c r="L136" s="2" t="s">
        <v>78</v>
      </c>
      <c r="M136" s="76" t="s">
        <v>78</v>
      </c>
      <c r="N136" s="49" t="s">
        <v>392</v>
      </c>
    </row>
    <row r="137" spans="1:14" x14ac:dyDescent="0.2">
      <c r="A137" s="1" t="s">
        <v>393</v>
      </c>
      <c r="B137" s="1" t="s">
        <v>394</v>
      </c>
      <c r="C137" s="1" t="s">
        <v>395</v>
      </c>
      <c r="D137" s="9">
        <v>69.2</v>
      </c>
      <c r="E137" s="9">
        <v>21.47</v>
      </c>
      <c r="F137" s="2">
        <v>704</v>
      </c>
      <c r="G137" s="1" t="s">
        <v>19</v>
      </c>
      <c r="H137" s="49" t="s">
        <v>1612</v>
      </c>
      <c r="I137" s="2">
        <v>8981</v>
      </c>
      <c r="J137" s="2">
        <v>-46</v>
      </c>
      <c r="K137" s="2">
        <v>62.255000000000003</v>
      </c>
      <c r="L137" s="1">
        <v>3</v>
      </c>
      <c r="M137" s="76">
        <v>0.98322348108240998</v>
      </c>
      <c r="N137" s="49" t="s">
        <v>396</v>
      </c>
    </row>
    <row r="138" spans="1:14" x14ac:dyDescent="0.2">
      <c r="A138" s="1" t="s">
        <v>397</v>
      </c>
      <c r="B138" s="1" t="s">
        <v>398</v>
      </c>
      <c r="C138" s="1" t="s">
        <v>265</v>
      </c>
      <c r="D138" s="9">
        <v>58.55</v>
      </c>
      <c r="E138" s="9">
        <v>11.6</v>
      </c>
      <c r="F138" s="2">
        <v>112</v>
      </c>
      <c r="G138" s="1" t="s">
        <v>19</v>
      </c>
      <c r="H138" s="49" t="s">
        <v>20</v>
      </c>
      <c r="I138" s="2">
        <v>8894</v>
      </c>
      <c r="J138" s="2">
        <v>0</v>
      </c>
      <c r="K138" s="2">
        <v>185.292</v>
      </c>
      <c r="L138" s="1">
        <v>1</v>
      </c>
      <c r="M138" s="76">
        <v>-0.86599713280887003</v>
      </c>
      <c r="N138" s="49" t="s">
        <v>399</v>
      </c>
    </row>
    <row r="139" spans="1:14" x14ac:dyDescent="0.2">
      <c r="A139" s="1" t="s">
        <v>400</v>
      </c>
      <c r="B139" s="1" t="s">
        <v>401</v>
      </c>
      <c r="C139" s="1" t="s">
        <v>293</v>
      </c>
      <c r="D139" s="9">
        <v>60.72</v>
      </c>
      <c r="E139" s="9">
        <v>7</v>
      </c>
      <c r="F139" s="2">
        <v>810</v>
      </c>
      <c r="G139" s="1" t="s">
        <v>19</v>
      </c>
      <c r="H139" s="49" t="s">
        <v>20</v>
      </c>
      <c r="I139" s="2">
        <v>8526.9632064222005</v>
      </c>
      <c r="J139" s="2">
        <v>-52</v>
      </c>
      <c r="K139" s="2">
        <v>164.98</v>
      </c>
      <c r="L139" s="1">
        <v>2</v>
      </c>
      <c r="M139" s="76">
        <v>1.9214558255991001</v>
      </c>
      <c r="N139" s="49" t="s">
        <v>402</v>
      </c>
    </row>
    <row r="140" spans="1:14" ht="31" x14ac:dyDescent="0.2">
      <c r="A140" s="1" t="s">
        <v>403</v>
      </c>
      <c r="B140" s="1" t="s">
        <v>404</v>
      </c>
      <c r="C140" s="1" t="s">
        <v>395</v>
      </c>
      <c r="D140" s="9">
        <v>68.41</v>
      </c>
      <c r="E140" s="9">
        <v>22.05</v>
      </c>
      <c r="F140" s="2">
        <v>526</v>
      </c>
      <c r="G140" s="1" t="s">
        <v>19</v>
      </c>
      <c r="H140" s="49" t="s">
        <v>1619</v>
      </c>
      <c r="I140" s="2">
        <v>10719.315166471601</v>
      </c>
      <c r="J140" s="2">
        <v>0</v>
      </c>
      <c r="K140" s="2">
        <v>67.254000000000005</v>
      </c>
      <c r="L140" s="1">
        <v>3</v>
      </c>
      <c r="M140" s="76">
        <v>-0.18641520819322799</v>
      </c>
      <c r="N140" s="49" t="s">
        <v>1301</v>
      </c>
    </row>
    <row r="141" spans="1:14" x14ac:dyDescent="0.2">
      <c r="A141" s="1" t="s">
        <v>405</v>
      </c>
      <c r="B141" s="1" t="s">
        <v>406</v>
      </c>
      <c r="C141" s="1" t="s">
        <v>260</v>
      </c>
      <c r="D141" s="9">
        <v>68.227000000000004</v>
      </c>
      <c r="E141" s="9">
        <v>14.063000000000001</v>
      </c>
      <c r="F141" s="2">
        <v>23</v>
      </c>
      <c r="G141" s="1" t="s">
        <v>19</v>
      </c>
      <c r="H141" s="49" t="s">
        <v>407</v>
      </c>
      <c r="I141" s="2">
        <v>11643</v>
      </c>
      <c r="J141" s="2">
        <v>355</v>
      </c>
      <c r="K141" s="2">
        <v>42.277000000000001</v>
      </c>
      <c r="L141" s="1">
        <v>3</v>
      </c>
      <c r="M141" s="76">
        <v>3.2518766260600702</v>
      </c>
      <c r="N141" s="49" t="s">
        <v>262</v>
      </c>
    </row>
    <row r="142" spans="1:14" x14ac:dyDescent="0.2">
      <c r="A142" s="1" t="s">
        <v>408</v>
      </c>
      <c r="B142" s="1" t="s">
        <v>409</v>
      </c>
      <c r="C142" s="1" t="s">
        <v>314</v>
      </c>
      <c r="D142" s="9">
        <v>68.33</v>
      </c>
      <c r="E142" s="9">
        <v>19.100000000000001</v>
      </c>
      <c r="F142" s="2">
        <v>348</v>
      </c>
      <c r="G142" s="1" t="s">
        <v>19</v>
      </c>
      <c r="H142" s="49" t="s">
        <v>786</v>
      </c>
      <c r="I142" s="2">
        <v>10214.209999999999</v>
      </c>
      <c r="J142" s="2">
        <v>-41.63</v>
      </c>
      <c r="K142" s="2">
        <v>165.73</v>
      </c>
      <c r="L142" s="2">
        <v>1</v>
      </c>
      <c r="M142" s="76">
        <v>-3.5317330260002699</v>
      </c>
      <c r="N142" s="49" t="s">
        <v>410</v>
      </c>
    </row>
    <row r="143" spans="1:14" x14ac:dyDescent="0.2">
      <c r="A143" s="1" t="s">
        <v>411</v>
      </c>
      <c r="B143" s="1" t="s">
        <v>412</v>
      </c>
      <c r="C143" s="1" t="s">
        <v>1313</v>
      </c>
      <c r="D143" s="9">
        <f>69+4/60</f>
        <v>69.066666666666663</v>
      </c>
      <c r="E143" s="9">
        <f>36+4/60</f>
        <v>36.06666666666667</v>
      </c>
      <c r="F143" s="2">
        <v>54</v>
      </c>
      <c r="G143" s="1" t="s">
        <v>19</v>
      </c>
      <c r="H143" s="49" t="s">
        <v>20</v>
      </c>
      <c r="I143" s="2">
        <v>12484.02</v>
      </c>
      <c r="J143" s="2">
        <v>1197.8599999999999</v>
      </c>
      <c r="K143" s="2">
        <v>205.203</v>
      </c>
      <c r="L143" s="2">
        <v>4</v>
      </c>
      <c r="M143" s="76">
        <v>2.17164879950329</v>
      </c>
      <c r="N143" s="49" t="s">
        <v>413</v>
      </c>
    </row>
    <row r="144" spans="1:14" x14ac:dyDescent="0.2">
      <c r="D144" s="9"/>
      <c r="E144" s="9"/>
    </row>
    <row r="145" spans="1:14" x14ac:dyDescent="0.2">
      <c r="A145" s="6" t="s">
        <v>414</v>
      </c>
      <c r="D145" s="9"/>
      <c r="E145" s="9"/>
    </row>
    <row r="146" spans="1:14" x14ac:dyDescent="0.2">
      <c r="A146" s="1" t="s">
        <v>415</v>
      </c>
      <c r="B146" s="1" t="s">
        <v>416</v>
      </c>
      <c r="C146" s="1" t="s">
        <v>417</v>
      </c>
      <c r="D146" s="9">
        <v>68.992533333333299</v>
      </c>
      <c r="E146" s="9">
        <v>-106.57355</v>
      </c>
      <c r="F146" s="2">
        <v>-118</v>
      </c>
      <c r="G146" s="1" t="s">
        <v>40</v>
      </c>
      <c r="H146" s="49" t="s">
        <v>52</v>
      </c>
      <c r="I146" s="10">
        <v>7730.8</v>
      </c>
      <c r="J146" s="10">
        <v>1023.6</v>
      </c>
      <c r="K146" s="10">
        <v>167.68</v>
      </c>
      <c r="L146" s="2" t="s">
        <v>78</v>
      </c>
      <c r="M146" s="76" t="s">
        <v>78</v>
      </c>
      <c r="N146" s="56" t="s">
        <v>190</v>
      </c>
    </row>
    <row r="147" spans="1:14" x14ac:dyDescent="0.2">
      <c r="A147" s="1" t="s">
        <v>418</v>
      </c>
      <c r="B147" s="1" t="s">
        <v>419</v>
      </c>
      <c r="C147" s="1" t="s">
        <v>417</v>
      </c>
      <c r="D147" s="9">
        <v>69.165666666666695</v>
      </c>
      <c r="E147" s="9">
        <v>-100.695333333333</v>
      </c>
      <c r="F147" s="2">
        <v>-61</v>
      </c>
      <c r="G147" s="1" t="s">
        <v>40</v>
      </c>
      <c r="H147" s="49" t="s">
        <v>132</v>
      </c>
      <c r="I147" s="2">
        <v>7731.2886654652002</v>
      </c>
      <c r="J147" s="2">
        <v>83.246296699912506</v>
      </c>
      <c r="K147" s="2">
        <v>16.626000000000001</v>
      </c>
      <c r="L147" s="1">
        <v>2</v>
      </c>
      <c r="M147" s="76">
        <v>2.67778914986443</v>
      </c>
      <c r="N147" s="49" t="s">
        <v>420</v>
      </c>
    </row>
    <row r="148" spans="1:14" x14ac:dyDescent="0.2">
      <c r="A148" s="1" t="s">
        <v>421</v>
      </c>
      <c r="B148" s="1" t="s">
        <v>422</v>
      </c>
      <c r="C148" s="1" t="s">
        <v>423</v>
      </c>
      <c r="D148" s="9">
        <v>68.990833333333299</v>
      </c>
      <c r="E148" s="9">
        <v>-106.571166666667</v>
      </c>
      <c r="F148" s="2">
        <v>-112</v>
      </c>
      <c r="G148" s="1" t="s">
        <v>40</v>
      </c>
      <c r="H148" s="49" t="s">
        <v>132</v>
      </c>
      <c r="I148" s="2">
        <v>11447.375147389899</v>
      </c>
      <c r="J148" s="2">
        <v>583.74000111993701</v>
      </c>
      <c r="K148" s="2">
        <v>27.158999999999999</v>
      </c>
      <c r="L148" s="2" t="s">
        <v>78</v>
      </c>
      <c r="M148" s="76" t="s">
        <v>78</v>
      </c>
      <c r="N148" s="49" t="s">
        <v>420</v>
      </c>
    </row>
    <row r="149" spans="1:14" x14ac:dyDescent="0.2">
      <c r="A149" s="1" t="s">
        <v>424</v>
      </c>
      <c r="B149" s="1" t="s">
        <v>425</v>
      </c>
      <c r="C149" s="1" t="s">
        <v>153</v>
      </c>
      <c r="D149" s="9">
        <v>61.166666999999997</v>
      </c>
      <c r="E149" s="9">
        <v>-100.916667</v>
      </c>
      <c r="F149" s="2">
        <v>168</v>
      </c>
      <c r="G149" s="1" t="s">
        <v>19</v>
      </c>
      <c r="H149" s="49" t="s">
        <v>20</v>
      </c>
      <c r="I149" s="2">
        <v>7100</v>
      </c>
      <c r="J149" s="2">
        <v>354</v>
      </c>
      <c r="K149" s="2">
        <v>224.86699999999999</v>
      </c>
      <c r="L149" s="2">
        <v>4</v>
      </c>
      <c r="M149" s="76">
        <v>3.1237293302740499</v>
      </c>
      <c r="N149" s="49" t="s">
        <v>426</v>
      </c>
    </row>
    <row r="150" spans="1:14" x14ac:dyDescent="0.2">
      <c r="A150" s="1" t="s">
        <v>427</v>
      </c>
      <c r="B150" s="1" t="s">
        <v>427</v>
      </c>
      <c r="C150" s="1" t="s">
        <v>428</v>
      </c>
      <c r="D150" s="9">
        <v>69.900000000000006</v>
      </c>
      <c r="E150" s="9">
        <v>-95.07</v>
      </c>
      <c r="F150" s="2">
        <v>120</v>
      </c>
      <c r="G150" s="1" t="s">
        <v>19</v>
      </c>
      <c r="H150" s="49" t="s">
        <v>20</v>
      </c>
      <c r="I150" s="2">
        <v>6956</v>
      </c>
      <c r="J150" s="2">
        <v>-49</v>
      </c>
      <c r="K150" s="2">
        <v>125.089</v>
      </c>
      <c r="L150" s="1">
        <v>3</v>
      </c>
      <c r="M150" s="76">
        <v>2.4108437578384798</v>
      </c>
      <c r="N150" s="49" t="s">
        <v>429</v>
      </c>
    </row>
    <row r="151" spans="1:14" x14ac:dyDescent="0.2">
      <c r="A151" s="1" t="s">
        <v>430</v>
      </c>
      <c r="B151" s="1" t="s">
        <v>431</v>
      </c>
      <c r="C151" s="1" t="s">
        <v>432</v>
      </c>
      <c r="D151" s="9">
        <f>58+44/60+5/3600</f>
        <v>58.734722222222224</v>
      </c>
      <c r="E151" s="9">
        <v>-65.934166666666698</v>
      </c>
      <c r="F151" s="2">
        <v>167</v>
      </c>
      <c r="G151" s="1" t="s">
        <v>19</v>
      </c>
      <c r="H151" s="49" t="s">
        <v>59</v>
      </c>
      <c r="I151" s="2">
        <v>6717.1764460000104</v>
      </c>
      <c r="J151" s="2">
        <v>-48</v>
      </c>
      <c r="K151" s="2">
        <v>69.031999999999996</v>
      </c>
      <c r="L151" s="1">
        <v>3</v>
      </c>
      <c r="M151" s="76">
        <v>0.47295823811797799</v>
      </c>
      <c r="N151" s="49" t="s">
        <v>433</v>
      </c>
    </row>
    <row r="152" spans="1:14" x14ac:dyDescent="0.2">
      <c r="A152" s="1" t="s">
        <v>434</v>
      </c>
      <c r="B152" s="1" t="s">
        <v>434</v>
      </c>
      <c r="C152" s="1" t="s">
        <v>435</v>
      </c>
      <c r="D152" s="9">
        <v>71.34</v>
      </c>
      <c r="E152" s="9">
        <v>-113.78</v>
      </c>
      <c r="F152" s="2">
        <v>299</v>
      </c>
      <c r="G152" s="1" t="s">
        <v>19</v>
      </c>
      <c r="H152" s="49" t="s">
        <v>1620</v>
      </c>
      <c r="I152" s="2">
        <v>10436.538461538499</v>
      </c>
      <c r="J152" s="2">
        <v>-51</v>
      </c>
      <c r="K152" s="2">
        <v>24.109000000000002</v>
      </c>
      <c r="L152" s="1">
        <v>3</v>
      </c>
      <c r="M152" s="76">
        <v>1.8864029292337201</v>
      </c>
      <c r="N152" s="49" t="s">
        <v>436</v>
      </c>
    </row>
    <row r="153" spans="1:14" x14ac:dyDescent="0.2">
      <c r="A153" s="1" t="s">
        <v>437</v>
      </c>
      <c r="B153" s="1" t="s">
        <v>437</v>
      </c>
      <c r="C153" s="1" t="s">
        <v>438</v>
      </c>
      <c r="D153" s="9">
        <v>58.583333000000003</v>
      </c>
      <c r="E153" s="9">
        <v>-75.25</v>
      </c>
      <c r="F153" s="2">
        <v>170</v>
      </c>
      <c r="G153" s="1" t="s">
        <v>19</v>
      </c>
      <c r="H153" s="49" t="s">
        <v>20</v>
      </c>
      <c r="I153" s="2">
        <v>7562</v>
      </c>
      <c r="J153" s="2">
        <v>88</v>
      </c>
      <c r="K153" s="2">
        <v>310.90909090909099</v>
      </c>
      <c r="L153" s="2">
        <v>1</v>
      </c>
      <c r="M153" s="76">
        <v>-1.49138864557952</v>
      </c>
      <c r="N153" s="49" t="s">
        <v>439</v>
      </c>
    </row>
    <row r="154" spans="1:14" x14ac:dyDescent="0.2">
      <c r="A154" s="1" t="s">
        <v>1777</v>
      </c>
      <c r="B154" s="1" t="s">
        <v>441</v>
      </c>
      <c r="C154" s="1" t="s">
        <v>442</v>
      </c>
      <c r="D154" s="9">
        <f>(59+52/60)/2+(59+55/60)/2</f>
        <v>59.891666666666666</v>
      </c>
      <c r="E154" s="9">
        <v>-104.208333333333</v>
      </c>
      <c r="F154" s="2">
        <v>394.5</v>
      </c>
      <c r="G154" s="1" t="s">
        <v>305</v>
      </c>
      <c r="H154" s="49" t="s">
        <v>1621</v>
      </c>
      <c r="I154" s="2">
        <v>6171</v>
      </c>
      <c r="J154" s="2">
        <v>-40</v>
      </c>
      <c r="K154" s="2">
        <v>96.667000000000002</v>
      </c>
      <c r="L154" s="1">
        <v>4</v>
      </c>
      <c r="M154" s="76">
        <v>3.7124749833002002</v>
      </c>
      <c r="N154" s="49" t="s">
        <v>443</v>
      </c>
    </row>
    <row r="155" spans="1:14" x14ac:dyDescent="0.2">
      <c r="A155" s="1" t="s">
        <v>444</v>
      </c>
      <c r="B155" s="1" t="s">
        <v>445</v>
      </c>
      <c r="C155" s="1" t="s">
        <v>446</v>
      </c>
      <c r="D155" s="9">
        <f>63+43/60</f>
        <v>63.716666666666669</v>
      </c>
      <c r="E155" s="9">
        <v>-109.35</v>
      </c>
      <c r="F155" s="2">
        <v>414</v>
      </c>
      <c r="G155" s="1" t="s">
        <v>19</v>
      </c>
      <c r="H155" s="49" t="s">
        <v>447</v>
      </c>
      <c r="I155" s="2">
        <v>8498</v>
      </c>
      <c r="J155" s="2">
        <v>88</v>
      </c>
      <c r="K155" s="2">
        <v>142.542</v>
      </c>
      <c r="L155" s="1">
        <v>2</v>
      </c>
      <c r="M155" s="76">
        <v>-0.51112045847731102</v>
      </c>
      <c r="N155" s="49" t="s">
        <v>1082</v>
      </c>
    </row>
    <row r="156" spans="1:14" x14ac:dyDescent="0.2">
      <c r="A156" s="1" t="s">
        <v>448</v>
      </c>
      <c r="B156" s="1" t="s">
        <v>449</v>
      </c>
      <c r="C156" s="1" t="s">
        <v>450</v>
      </c>
      <c r="D156" s="9">
        <v>59.404000000000003</v>
      </c>
      <c r="E156" s="9">
        <v>-97.492999999999995</v>
      </c>
      <c r="F156" s="2">
        <v>294</v>
      </c>
      <c r="G156" s="1" t="s">
        <v>19</v>
      </c>
      <c r="H156" s="49" t="s">
        <v>451</v>
      </c>
      <c r="I156" s="2">
        <v>8751.7277603149396</v>
      </c>
      <c r="J156" s="2">
        <v>-60.506996154785199</v>
      </c>
      <c r="K156" s="2">
        <v>43.625</v>
      </c>
      <c r="L156" s="1">
        <v>4</v>
      </c>
      <c r="M156" s="76">
        <v>3.2153503970278701</v>
      </c>
      <c r="N156" s="49" t="s">
        <v>452</v>
      </c>
    </row>
    <row r="157" spans="1:14" x14ac:dyDescent="0.2">
      <c r="A157" s="1" t="s">
        <v>453</v>
      </c>
      <c r="B157" s="1" t="s">
        <v>454</v>
      </c>
      <c r="C157" s="1" t="s">
        <v>446</v>
      </c>
      <c r="D157" s="9">
        <f>64+41/60</f>
        <v>64.683333333333337</v>
      </c>
      <c r="E157" s="9">
        <v>-97.05</v>
      </c>
      <c r="G157" s="1" t="s">
        <v>19</v>
      </c>
      <c r="H157" s="49" t="s">
        <v>447</v>
      </c>
      <c r="I157" s="2">
        <v>7431</v>
      </c>
      <c r="J157" s="2">
        <v>-31</v>
      </c>
      <c r="K157" s="2">
        <v>392.73700000000002</v>
      </c>
      <c r="L157" s="1">
        <v>1</v>
      </c>
      <c r="M157" s="76">
        <v>-2.0382173938230199</v>
      </c>
      <c r="N157" s="49" t="s">
        <v>1082</v>
      </c>
    </row>
    <row r="158" spans="1:14" x14ac:dyDescent="0.2">
      <c r="D158" s="9"/>
      <c r="E158" s="9"/>
    </row>
    <row r="159" spans="1:14" x14ac:dyDescent="0.2">
      <c r="A159" s="6" t="s">
        <v>455</v>
      </c>
      <c r="B159" s="11"/>
      <c r="D159" s="12"/>
      <c r="E159" s="12"/>
      <c r="F159" s="37"/>
      <c r="G159" s="11"/>
      <c r="H159" s="7"/>
    </row>
    <row r="160" spans="1:14" x14ac:dyDescent="0.2">
      <c r="A160" s="1" t="s">
        <v>456</v>
      </c>
      <c r="B160" s="1" t="s">
        <v>456</v>
      </c>
      <c r="C160" s="1" t="s">
        <v>457</v>
      </c>
      <c r="D160" s="9">
        <v>66.53</v>
      </c>
      <c r="E160" s="9">
        <v>-21.5</v>
      </c>
      <c r="G160" s="1" t="s">
        <v>40</v>
      </c>
      <c r="H160" s="49" t="s">
        <v>458</v>
      </c>
      <c r="I160" s="2">
        <v>6127.8</v>
      </c>
      <c r="J160" s="2">
        <v>177.43</v>
      </c>
      <c r="K160" s="2">
        <v>185.94900000000001</v>
      </c>
      <c r="L160" s="1">
        <v>2</v>
      </c>
      <c r="M160" s="76">
        <v>-1.6466341663826101</v>
      </c>
      <c r="N160" s="49" t="s">
        <v>459</v>
      </c>
    </row>
    <row r="161" spans="1:14" x14ac:dyDescent="0.2">
      <c r="A161" s="1" t="s">
        <v>460</v>
      </c>
      <c r="B161" s="1" t="s">
        <v>461</v>
      </c>
      <c r="C161" s="1" t="s">
        <v>462</v>
      </c>
      <c r="D161" s="9">
        <v>75</v>
      </c>
      <c r="E161" s="9">
        <v>14</v>
      </c>
      <c r="F161" s="2">
        <v>-1768</v>
      </c>
      <c r="G161" s="1" t="s">
        <v>40</v>
      </c>
      <c r="H161" s="49" t="s">
        <v>1622</v>
      </c>
      <c r="I161" s="2">
        <v>13987</v>
      </c>
      <c r="J161" s="2">
        <v>0</v>
      </c>
      <c r="K161" s="2">
        <v>34.697000000000003</v>
      </c>
      <c r="L161" s="2">
        <v>4</v>
      </c>
      <c r="M161" s="79">
        <v>2.1805805805930101</v>
      </c>
      <c r="N161" s="49" t="s">
        <v>463</v>
      </c>
    </row>
    <row r="162" spans="1:14" ht="31" x14ac:dyDescent="0.2">
      <c r="A162" s="1" t="s">
        <v>464</v>
      </c>
      <c r="B162" s="1" t="s">
        <v>465</v>
      </c>
      <c r="C162" s="1" t="s">
        <v>466</v>
      </c>
      <c r="D162" s="9">
        <v>65.03</v>
      </c>
      <c r="E162" s="9">
        <v>-21.37</v>
      </c>
      <c r="F162" s="2">
        <v>32</v>
      </c>
      <c r="G162" s="1" t="s">
        <v>19</v>
      </c>
      <c r="H162" s="49" t="s">
        <v>1770</v>
      </c>
      <c r="I162" s="2">
        <v>10000</v>
      </c>
      <c r="J162" s="2">
        <v>-1</v>
      </c>
      <c r="K162" s="2">
        <v>3.1640000000000001</v>
      </c>
      <c r="L162" s="2" t="s">
        <v>78</v>
      </c>
      <c r="M162" s="76" t="s">
        <v>78</v>
      </c>
      <c r="N162" s="49" t="s">
        <v>467</v>
      </c>
    </row>
    <row r="163" spans="1:14" ht="31" x14ac:dyDescent="0.2">
      <c r="A163" s="1" t="s">
        <v>468</v>
      </c>
      <c r="B163" s="1" t="s">
        <v>469</v>
      </c>
      <c r="C163" s="1" t="s">
        <v>466</v>
      </c>
      <c r="D163" s="9">
        <f>64+37/60</f>
        <v>64.61666666666666</v>
      </c>
      <c r="E163" s="9">
        <f>-(19+51/60)</f>
        <v>-19.850000000000001</v>
      </c>
      <c r="F163" s="2">
        <v>422</v>
      </c>
      <c r="G163" s="1" t="s">
        <v>19</v>
      </c>
      <c r="H163" s="49" t="s">
        <v>1769</v>
      </c>
      <c r="I163" s="2">
        <v>10181</v>
      </c>
      <c r="J163" s="2">
        <v>-38</v>
      </c>
      <c r="K163" s="2">
        <v>5.9020000000000001</v>
      </c>
      <c r="L163" s="2" t="s">
        <v>78</v>
      </c>
      <c r="M163" s="76" t="s">
        <v>78</v>
      </c>
      <c r="N163" s="49" t="s">
        <v>467</v>
      </c>
    </row>
    <row r="164" spans="1:14" x14ac:dyDescent="0.2">
      <c r="A164" s="1" t="s">
        <v>470</v>
      </c>
      <c r="B164" s="1" t="s">
        <v>471</v>
      </c>
      <c r="C164" s="1" t="s">
        <v>462</v>
      </c>
      <c r="D164" s="9">
        <v>71.989999999999995</v>
      </c>
      <c r="E164" s="9">
        <v>14.36</v>
      </c>
      <c r="G164" s="1" t="s">
        <v>40</v>
      </c>
      <c r="H164" s="49" t="s">
        <v>149</v>
      </c>
      <c r="I164" s="2">
        <v>13354.9308946</v>
      </c>
      <c r="J164" s="2">
        <v>-50.099999999999902</v>
      </c>
      <c r="K164" s="2">
        <v>75.734999999999999</v>
      </c>
      <c r="L164" s="1">
        <v>4</v>
      </c>
      <c r="M164" s="76">
        <v>-0.82871745113226303</v>
      </c>
      <c r="N164" s="49" t="s">
        <v>472</v>
      </c>
    </row>
    <row r="165" spans="1:14" x14ac:dyDescent="0.2">
      <c r="A165" s="1" t="s">
        <v>473</v>
      </c>
      <c r="B165" s="1" t="s">
        <v>473</v>
      </c>
      <c r="C165" s="1" t="s">
        <v>474</v>
      </c>
      <c r="D165" s="9">
        <v>68.099999999999994</v>
      </c>
      <c r="E165" s="9">
        <v>-29.35</v>
      </c>
      <c r="F165" s="2">
        <v>-404</v>
      </c>
      <c r="G165" s="1" t="s">
        <v>40</v>
      </c>
      <c r="H165" s="49" t="s">
        <v>52</v>
      </c>
      <c r="I165" s="2">
        <v>10589</v>
      </c>
      <c r="J165" s="2">
        <v>456.93</v>
      </c>
      <c r="K165" s="2">
        <v>103.02500000000001</v>
      </c>
      <c r="L165" s="2">
        <v>2</v>
      </c>
      <c r="M165" s="76">
        <v>-1.5020991536992001</v>
      </c>
      <c r="N165" s="56" t="s">
        <v>1076</v>
      </c>
    </row>
    <row r="166" spans="1:14" x14ac:dyDescent="0.2">
      <c r="A166" s="1" t="s">
        <v>475</v>
      </c>
      <c r="B166" s="1" t="s">
        <v>475</v>
      </c>
      <c r="C166" s="1" t="s">
        <v>476</v>
      </c>
      <c r="D166" s="9">
        <v>67.59</v>
      </c>
      <c r="E166" s="9">
        <v>-17.559999999999999</v>
      </c>
      <c r="G166" s="1" t="s">
        <v>40</v>
      </c>
      <c r="H166" s="49" t="s">
        <v>144</v>
      </c>
      <c r="I166" s="2">
        <v>10170.629999999999</v>
      </c>
      <c r="J166" s="2">
        <v>61.87</v>
      </c>
      <c r="K166" s="2">
        <v>105.3</v>
      </c>
      <c r="L166" s="1">
        <v>2</v>
      </c>
      <c r="M166" s="76">
        <v>0.96573771086947002</v>
      </c>
      <c r="N166" s="49" t="s">
        <v>477</v>
      </c>
    </row>
    <row r="167" spans="1:14" x14ac:dyDescent="0.2">
      <c r="A167" s="1" t="s">
        <v>478</v>
      </c>
      <c r="B167" s="1" t="s">
        <v>479</v>
      </c>
      <c r="C167" s="1" t="s">
        <v>480</v>
      </c>
      <c r="D167" s="9">
        <f>58+56.3/60</f>
        <v>58.938333333333333</v>
      </c>
      <c r="E167" s="9">
        <v>-30.408333333333299</v>
      </c>
      <c r="G167" s="1" t="s">
        <v>40</v>
      </c>
      <c r="H167" s="49" t="s">
        <v>217</v>
      </c>
      <c r="I167" s="2">
        <v>10976.135933699999</v>
      </c>
      <c r="J167" s="2">
        <v>367.5</v>
      </c>
      <c r="K167" s="2">
        <v>32.343000000000004</v>
      </c>
      <c r="L167" s="1">
        <v>3</v>
      </c>
      <c r="M167" s="76">
        <v>3.1907197176055</v>
      </c>
      <c r="N167" s="49" t="s">
        <v>481</v>
      </c>
    </row>
    <row r="168" spans="1:14" x14ac:dyDescent="0.2">
      <c r="A168" s="1" t="s">
        <v>1318</v>
      </c>
      <c r="B168" s="1" t="s">
        <v>1308</v>
      </c>
      <c r="C168" s="1" t="s">
        <v>235</v>
      </c>
      <c r="D168" s="9">
        <v>69.5</v>
      </c>
      <c r="E168" s="1">
        <v>18.39</v>
      </c>
      <c r="F168" s="2">
        <v>-213</v>
      </c>
      <c r="G168" s="1" t="s">
        <v>40</v>
      </c>
      <c r="H168" s="49" t="s">
        <v>458</v>
      </c>
      <c r="I168" s="2">
        <v>7891</v>
      </c>
      <c r="J168" s="2">
        <v>1580</v>
      </c>
      <c r="K168" s="2">
        <v>185</v>
      </c>
      <c r="L168" s="2">
        <v>2</v>
      </c>
      <c r="M168" s="80">
        <v>-1.3869358427055001</v>
      </c>
      <c r="N168" s="49" t="s">
        <v>1309</v>
      </c>
    </row>
    <row r="169" spans="1:14" ht="31" x14ac:dyDescent="0.2">
      <c r="A169" s="1" t="s">
        <v>482</v>
      </c>
      <c r="B169" s="1" t="s">
        <v>483</v>
      </c>
      <c r="C169" s="1" t="s">
        <v>462</v>
      </c>
      <c r="D169" s="9">
        <v>66.97</v>
      </c>
      <c r="E169" s="9">
        <v>7.64</v>
      </c>
      <c r="F169" s="2">
        <v>-1048</v>
      </c>
      <c r="G169" s="1" t="s">
        <v>40</v>
      </c>
      <c r="H169" s="49" t="s">
        <v>1623</v>
      </c>
      <c r="I169" s="2">
        <v>6026.1344997870301</v>
      </c>
      <c r="J169" s="2">
        <v>-45.350734998882601</v>
      </c>
      <c r="K169" s="2">
        <v>14.67</v>
      </c>
      <c r="L169" s="1">
        <v>5</v>
      </c>
      <c r="M169" s="76">
        <v>4.92526095092171</v>
      </c>
      <c r="N169" s="49" t="s">
        <v>484</v>
      </c>
    </row>
    <row r="170" spans="1:14" x14ac:dyDescent="0.2">
      <c r="A170" s="1" t="s">
        <v>485</v>
      </c>
      <c r="B170" s="1" t="s">
        <v>485</v>
      </c>
      <c r="C170" s="1" t="s">
        <v>486</v>
      </c>
      <c r="D170" s="9">
        <f>58+46/60</f>
        <v>58.766666666666666</v>
      </c>
      <c r="E170" s="9">
        <f>-(25+58/60)</f>
        <v>-25.966666666666665</v>
      </c>
      <c r="G170" s="1" t="s">
        <v>40</v>
      </c>
      <c r="H170" s="49" t="s">
        <v>144</v>
      </c>
      <c r="I170" s="2">
        <v>10027.6</v>
      </c>
      <c r="J170" s="2">
        <v>724.8</v>
      </c>
      <c r="K170" s="2">
        <v>83.061000000000007</v>
      </c>
      <c r="L170" s="2">
        <v>4</v>
      </c>
      <c r="M170" s="76">
        <v>2.5875350748321</v>
      </c>
      <c r="N170" s="49" t="s">
        <v>487</v>
      </c>
    </row>
    <row r="171" spans="1:14" x14ac:dyDescent="0.2">
      <c r="A171" s="1" t="s">
        <v>488</v>
      </c>
      <c r="B171" s="1" t="s">
        <v>488</v>
      </c>
      <c r="C171" s="1" t="s">
        <v>489</v>
      </c>
      <c r="D171" s="9">
        <f>64+18.19/60</f>
        <v>64.303166666666669</v>
      </c>
      <c r="E171" s="9">
        <f>-(24+12.4/60)</f>
        <v>-24.206666666666667</v>
      </c>
      <c r="F171" s="2">
        <v>246</v>
      </c>
      <c r="G171" s="1" t="s">
        <v>40</v>
      </c>
      <c r="H171" s="49" t="s">
        <v>149</v>
      </c>
      <c r="I171" s="2">
        <v>11333</v>
      </c>
      <c r="J171" s="2">
        <v>-43</v>
      </c>
      <c r="K171" s="2">
        <v>91.007999999999996</v>
      </c>
      <c r="L171" s="1">
        <v>2</v>
      </c>
      <c r="M171" s="76">
        <v>1.4465077593050599</v>
      </c>
      <c r="N171" s="49" t="s">
        <v>1094</v>
      </c>
    </row>
    <row r="172" spans="1:14" x14ac:dyDescent="0.2">
      <c r="A172" s="1" t="s">
        <v>490</v>
      </c>
      <c r="B172" s="1" t="s">
        <v>490</v>
      </c>
      <c r="C172" s="1" t="s">
        <v>491</v>
      </c>
      <c r="D172" s="9">
        <f>66+40.74/60</f>
        <v>66.679000000000002</v>
      </c>
      <c r="E172" s="9">
        <f>-(24+11.76/60)</f>
        <v>-24.196000000000002</v>
      </c>
      <c r="F172" s="2">
        <v>235</v>
      </c>
      <c r="G172" s="1" t="s">
        <v>40</v>
      </c>
      <c r="H172" s="49" t="s">
        <v>149</v>
      </c>
      <c r="I172" s="2">
        <v>11503</v>
      </c>
      <c r="J172" s="2">
        <v>-24</v>
      </c>
      <c r="K172" s="2">
        <v>66.63</v>
      </c>
      <c r="L172" s="1">
        <v>2</v>
      </c>
      <c r="M172" s="76">
        <v>-0.47521947373426299</v>
      </c>
      <c r="N172" s="49" t="s">
        <v>1094</v>
      </c>
    </row>
    <row r="173" spans="1:14" x14ac:dyDescent="0.2">
      <c r="A173" s="1" t="s">
        <v>492</v>
      </c>
      <c r="B173" s="1" t="s">
        <v>492</v>
      </c>
      <c r="C173" s="1" t="s">
        <v>474</v>
      </c>
      <c r="D173" s="9">
        <v>66.849999999999994</v>
      </c>
      <c r="E173" s="9">
        <v>-20.85</v>
      </c>
      <c r="G173" s="1" t="s">
        <v>40</v>
      </c>
      <c r="H173" s="49" t="s">
        <v>217</v>
      </c>
      <c r="I173" s="2">
        <v>11477</v>
      </c>
      <c r="J173" s="2">
        <v>-16.102</v>
      </c>
      <c r="K173" s="2">
        <v>37.195</v>
      </c>
      <c r="L173" s="2">
        <v>4</v>
      </c>
      <c r="M173" s="76">
        <v>4.1507197176055</v>
      </c>
      <c r="N173" s="49" t="s">
        <v>493</v>
      </c>
    </row>
    <row r="174" spans="1:14" x14ac:dyDescent="0.2">
      <c r="A174" s="1" t="s">
        <v>494</v>
      </c>
      <c r="B174" s="1" t="s">
        <v>494</v>
      </c>
      <c r="C174" s="1" t="s">
        <v>495</v>
      </c>
      <c r="D174" s="9">
        <v>68.102999999999994</v>
      </c>
      <c r="E174" s="9">
        <v>-27.861499999999999</v>
      </c>
      <c r="G174" s="1" t="s">
        <v>40</v>
      </c>
      <c r="H174" s="49" t="s">
        <v>1624</v>
      </c>
      <c r="I174" s="2">
        <v>13305</v>
      </c>
      <c r="J174" s="2">
        <v>1013</v>
      </c>
      <c r="K174" s="2">
        <v>25.433</v>
      </c>
      <c r="L174" s="1">
        <v>4</v>
      </c>
      <c r="M174" s="76">
        <v>1.8826414028763001</v>
      </c>
      <c r="N174" s="49" t="s">
        <v>496</v>
      </c>
    </row>
    <row r="175" spans="1:14" x14ac:dyDescent="0.2">
      <c r="A175" s="1" t="s">
        <v>497</v>
      </c>
      <c r="B175" s="1" t="s">
        <v>497</v>
      </c>
      <c r="C175" s="1" t="s">
        <v>495</v>
      </c>
      <c r="D175" s="9">
        <v>67.136300000000006</v>
      </c>
      <c r="E175" s="9">
        <v>-30.827829999999999</v>
      </c>
      <c r="G175" s="1" t="s">
        <v>40</v>
      </c>
      <c r="H175" s="49" t="s">
        <v>1625</v>
      </c>
      <c r="I175" s="2" t="s">
        <v>1324</v>
      </c>
      <c r="J175" s="2">
        <v>196.5301</v>
      </c>
      <c r="K175" s="2">
        <v>19.873999999999999</v>
      </c>
      <c r="L175" s="1">
        <v>4</v>
      </c>
      <c r="M175" s="76">
        <v>3.0794996018588998</v>
      </c>
      <c r="N175" s="49" t="s">
        <v>496</v>
      </c>
    </row>
    <row r="176" spans="1:14" ht="21" customHeight="1" x14ac:dyDescent="0.2">
      <c r="A176" s="1" t="s">
        <v>498</v>
      </c>
      <c r="B176" s="1" t="s">
        <v>499</v>
      </c>
      <c r="C176" s="1" t="s">
        <v>500</v>
      </c>
      <c r="D176" s="9">
        <v>62.12</v>
      </c>
      <c r="E176" s="9">
        <v>-7</v>
      </c>
      <c r="F176" s="2">
        <v>200</v>
      </c>
      <c r="G176" s="1" t="s">
        <v>19</v>
      </c>
      <c r="H176" s="49" t="s">
        <v>1343</v>
      </c>
      <c r="I176" s="10">
        <v>11611</v>
      </c>
      <c r="J176" s="10">
        <v>-40</v>
      </c>
      <c r="K176" s="10">
        <v>12.989000000000001</v>
      </c>
      <c r="L176" s="2">
        <v>4</v>
      </c>
      <c r="M176" s="76">
        <v>2.4244499003061999</v>
      </c>
      <c r="N176" s="49" t="s">
        <v>501</v>
      </c>
    </row>
    <row r="177" spans="1:14" x14ac:dyDescent="0.2">
      <c r="A177" s="1" t="s">
        <v>502</v>
      </c>
      <c r="B177" s="1" t="s">
        <v>503</v>
      </c>
      <c r="C177" s="1" t="s">
        <v>504</v>
      </c>
      <c r="D177" s="9">
        <v>78.915999999999997</v>
      </c>
      <c r="E177" s="9">
        <v>6.7670000000000003</v>
      </c>
      <c r="F177" s="2">
        <v>-1487</v>
      </c>
      <c r="G177" s="1" t="s">
        <v>40</v>
      </c>
      <c r="H177" s="49" t="s">
        <v>1626</v>
      </c>
      <c r="I177" s="2">
        <v>10514</v>
      </c>
      <c r="J177" s="2">
        <v>457.65</v>
      </c>
      <c r="K177" s="2">
        <v>139.672</v>
      </c>
      <c r="L177" s="2">
        <v>4</v>
      </c>
      <c r="M177" s="76">
        <v>4.0263421163425503</v>
      </c>
      <c r="N177" s="49" t="s">
        <v>505</v>
      </c>
    </row>
    <row r="178" spans="1:14" x14ac:dyDescent="0.2">
      <c r="A178" s="1" t="s">
        <v>506</v>
      </c>
      <c r="B178" s="1" t="s">
        <v>507</v>
      </c>
      <c r="C178" s="1" t="s">
        <v>504</v>
      </c>
      <c r="D178" s="9">
        <v>79.161000000000001</v>
      </c>
      <c r="E178" s="9">
        <v>5.3380000000000001</v>
      </c>
      <c r="F178" s="2">
        <v>-1349</v>
      </c>
      <c r="G178" s="1" t="s">
        <v>40</v>
      </c>
      <c r="H178" s="49" t="s">
        <v>132</v>
      </c>
      <c r="I178" s="2">
        <v>7010</v>
      </c>
      <c r="J178" s="2">
        <v>180</v>
      </c>
      <c r="K178" s="2">
        <v>35</v>
      </c>
      <c r="L178" s="2">
        <v>4</v>
      </c>
      <c r="M178" s="76">
        <v>3.4542105631015501</v>
      </c>
      <c r="N178" s="49" t="s">
        <v>508</v>
      </c>
    </row>
    <row r="179" spans="1:14" x14ac:dyDescent="0.2">
      <c r="A179" s="1" t="s">
        <v>509</v>
      </c>
      <c r="B179" s="1" t="s">
        <v>510</v>
      </c>
      <c r="C179" s="1" t="s">
        <v>511</v>
      </c>
      <c r="D179" s="9">
        <v>61</v>
      </c>
      <c r="E179" s="9">
        <v>-25</v>
      </c>
      <c r="F179" s="2">
        <v>-1648</v>
      </c>
      <c r="G179" s="1" t="s">
        <v>40</v>
      </c>
      <c r="H179" s="49" t="s">
        <v>1627</v>
      </c>
      <c r="I179" s="2">
        <v>10423</v>
      </c>
      <c r="J179" s="2">
        <v>554</v>
      </c>
      <c r="K179" s="2">
        <v>75.56</v>
      </c>
      <c r="L179" s="1">
        <v>4</v>
      </c>
      <c r="M179" s="80">
        <v>5.4135166048884802</v>
      </c>
      <c r="N179" s="49" t="s">
        <v>512</v>
      </c>
    </row>
    <row r="180" spans="1:14" x14ac:dyDescent="0.2">
      <c r="A180" s="1" t="s">
        <v>513</v>
      </c>
      <c r="B180" s="1" t="s">
        <v>513</v>
      </c>
      <c r="C180" s="1" t="s">
        <v>462</v>
      </c>
      <c r="D180" s="9">
        <f>63+45/60+44/3600</f>
        <v>63.762222222222221</v>
      </c>
      <c r="E180" s="9">
        <v>5.2552777777777804</v>
      </c>
      <c r="F180" s="2">
        <v>-875</v>
      </c>
      <c r="G180" s="1" t="s">
        <v>40</v>
      </c>
      <c r="H180" s="49" t="s">
        <v>1628</v>
      </c>
      <c r="I180" s="10">
        <v>7880.8353991210897</v>
      </c>
      <c r="J180" s="2">
        <v>-48.235781935616203</v>
      </c>
      <c r="K180" s="2">
        <v>5.1319999999999997</v>
      </c>
      <c r="L180" s="1">
        <v>5</v>
      </c>
      <c r="M180" s="80">
        <v>6.9440453466218797</v>
      </c>
      <c r="N180" s="49" t="s">
        <v>514</v>
      </c>
    </row>
    <row r="181" spans="1:14" x14ac:dyDescent="0.2">
      <c r="A181" s="1" t="s">
        <v>515</v>
      </c>
      <c r="B181" s="1" t="s">
        <v>516</v>
      </c>
      <c r="C181" s="1" t="s">
        <v>517</v>
      </c>
      <c r="D181" s="9">
        <v>73.155000000000001</v>
      </c>
      <c r="E181" s="9">
        <v>19.481999999999999</v>
      </c>
      <c r="F181" s="2">
        <v>-469</v>
      </c>
      <c r="G181" s="1" t="s">
        <v>40</v>
      </c>
      <c r="H181" s="49" t="s">
        <v>132</v>
      </c>
      <c r="I181" s="2">
        <v>8780</v>
      </c>
      <c r="J181" s="2">
        <v>20</v>
      </c>
      <c r="K181" s="2">
        <v>19.001999999999999</v>
      </c>
      <c r="L181" s="2">
        <v>2</v>
      </c>
      <c r="M181" s="76">
        <v>0.80266174029236204</v>
      </c>
      <c r="N181" s="49" t="s">
        <v>508</v>
      </c>
    </row>
    <row r="182" spans="1:14" x14ac:dyDescent="0.2">
      <c r="A182" s="1" t="s">
        <v>518</v>
      </c>
      <c r="B182" s="1" t="s">
        <v>519</v>
      </c>
      <c r="C182" s="1" t="s">
        <v>1771</v>
      </c>
      <c r="D182" s="9">
        <f>62+5.43/60</f>
        <v>62.090499999999999</v>
      </c>
      <c r="E182" s="9">
        <f>-(17+49.18/60)</f>
        <v>-17.819666666666667</v>
      </c>
      <c r="F182" s="2">
        <v>-1938</v>
      </c>
      <c r="G182" s="1" t="s">
        <v>40</v>
      </c>
      <c r="H182" s="49" t="s">
        <v>1345</v>
      </c>
      <c r="I182" s="2">
        <v>11868.5</v>
      </c>
      <c r="J182" s="2">
        <v>0</v>
      </c>
      <c r="K182" s="2">
        <v>59.341999999999999</v>
      </c>
      <c r="L182" s="1">
        <v>4</v>
      </c>
      <c r="M182" s="76">
        <v>2.7344472673084801</v>
      </c>
      <c r="N182" s="49" t="s">
        <v>520</v>
      </c>
    </row>
    <row r="183" spans="1:14" x14ac:dyDescent="0.2">
      <c r="A183" s="1" t="s">
        <v>1332</v>
      </c>
      <c r="B183" s="1" t="s">
        <v>1317</v>
      </c>
      <c r="C183" s="1" t="s">
        <v>500</v>
      </c>
      <c r="D183" s="1">
        <v>62.05</v>
      </c>
      <c r="E183" s="1">
        <v>-6.59</v>
      </c>
      <c r="F183" s="2">
        <v>94</v>
      </c>
      <c r="G183" s="1" t="s">
        <v>19</v>
      </c>
      <c r="H183" s="49" t="s">
        <v>1344</v>
      </c>
      <c r="I183" s="2">
        <v>11077</v>
      </c>
      <c r="J183" s="2">
        <v>1521</v>
      </c>
      <c r="K183" s="2">
        <v>43</v>
      </c>
      <c r="L183" s="2">
        <v>1</v>
      </c>
      <c r="M183" s="80">
        <v>0.78416086232737503</v>
      </c>
      <c r="N183" s="49" t="s">
        <v>1312</v>
      </c>
    </row>
    <row r="184" spans="1:14" x14ac:dyDescent="0.2">
      <c r="A184" s="1" t="s">
        <v>521</v>
      </c>
      <c r="B184" s="1" t="s">
        <v>522</v>
      </c>
      <c r="C184" s="1" t="s">
        <v>523</v>
      </c>
      <c r="D184" s="9">
        <f>60+52/60</f>
        <v>60.866666666666667</v>
      </c>
      <c r="E184" s="9">
        <f>3+44/60</f>
        <v>3.7333333333333334</v>
      </c>
      <c r="F184" s="2">
        <v>-345</v>
      </c>
      <c r="G184" s="1" t="s">
        <v>40</v>
      </c>
      <c r="H184" s="49" t="s">
        <v>1766</v>
      </c>
      <c r="I184" s="2">
        <v>9800</v>
      </c>
      <c r="J184" s="2">
        <v>240</v>
      </c>
      <c r="K184" s="2">
        <v>132.77799999999999</v>
      </c>
      <c r="L184" s="1">
        <v>4</v>
      </c>
      <c r="M184" s="76">
        <v>2.4667840841616799</v>
      </c>
      <c r="N184" s="49" t="s">
        <v>1328</v>
      </c>
    </row>
    <row r="185" spans="1:14" x14ac:dyDescent="0.2">
      <c r="D185" s="9"/>
      <c r="E185" s="9"/>
    </row>
    <row r="186" spans="1:14" x14ac:dyDescent="0.2">
      <c r="A186" s="6" t="s">
        <v>524</v>
      </c>
      <c r="D186" s="9"/>
      <c r="E186" s="9"/>
    </row>
    <row r="187" spans="1:14" x14ac:dyDescent="0.2">
      <c r="A187" s="1" t="s">
        <v>525</v>
      </c>
      <c r="B187" s="1" t="s">
        <v>526</v>
      </c>
      <c r="C187" s="82" t="s">
        <v>530</v>
      </c>
      <c r="D187" s="9">
        <f>71+52/60</f>
        <v>71.86666666666666</v>
      </c>
      <c r="E187" s="9">
        <f>127+4/60</f>
        <v>127.06666666666666</v>
      </c>
      <c r="G187" s="1" t="s">
        <v>19</v>
      </c>
      <c r="H187" s="49" t="s">
        <v>1629</v>
      </c>
      <c r="I187" s="2">
        <v>9952.1</v>
      </c>
      <c r="J187" s="2">
        <v>11.4</v>
      </c>
      <c r="K187" s="2">
        <v>223.14</v>
      </c>
      <c r="L187" s="1">
        <v>3</v>
      </c>
      <c r="M187" s="76">
        <v>-0.75553052416794797</v>
      </c>
      <c r="N187" s="49" t="s">
        <v>527</v>
      </c>
    </row>
    <row r="188" spans="1:14" x14ac:dyDescent="0.2">
      <c r="A188" s="1" t="s">
        <v>528</v>
      </c>
      <c r="B188" s="1" t="s">
        <v>529</v>
      </c>
      <c r="C188" s="82" t="s">
        <v>530</v>
      </c>
      <c r="D188" s="9">
        <v>67.362799999999993</v>
      </c>
      <c r="E188" s="9">
        <v>62.750700000000002</v>
      </c>
      <c r="F188" s="2">
        <v>108</v>
      </c>
      <c r="G188" s="1" t="s">
        <v>19</v>
      </c>
      <c r="H188" s="49" t="s">
        <v>1612</v>
      </c>
      <c r="I188" s="2">
        <v>11502.689548963999</v>
      </c>
      <c r="J188" s="2">
        <v>-43.7</v>
      </c>
      <c r="K188" s="2">
        <v>116.63</v>
      </c>
      <c r="L188" s="1">
        <v>2</v>
      </c>
      <c r="M188" s="76">
        <v>-4.0744968969569104</v>
      </c>
      <c r="N188" s="49" t="s">
        <v>531</v>
      </c>
    </row>
    <row r="189" spans="1:14" x14ac:dyDescent="0.2">
      <c r="A189" s="1" t="s">
        <v>532</v>
      </c>
      <c r="B189" s="1" t="s">
        <v>533</v>
      </c>
      <c r="C189" s="82" t="s">
        <v>530</v>
      </c>
      <c r="D189" s="9">
        <v>68.25</v>
      </c>
      <c r="E189" s="9">
        <v>65.790000000000006</v>
      </c>
      <c r="G189" s="1" t="s">
        <v>19</v>
      </c>
      <c r="H189" s="49" t="s">
        <v>59</v>
      </c>
      <c r="I189" s="2">
        <v>10788.064453125</v>
      </c>
      <c r="J189" s="2">
        <v>68.888885498046903</v>
      </c>
      <c r="K189" s="2">
        <v>181.68100000000001</v>
      </c>
      <c r="L189" s="1">
        <v>3</v>
      </c>
      <c r="M189" s="76">
        <v>-1.70517354749862</v>
      </c>
      <c r="N189" s="49" t="s">
        <v>1093</v>
      </c>
    </row>
    <row r="190" spans="1:14" x14ac:dyDescent="0.2">
      <c r="A190" s="1" t="s">
        <v>534</v>
      </c>
      <c r="B190" s="1" t="s">
        <v>535</v>
      </c>
      <c r="C190" s="82" t="s">
        <v>1313</v>
      </c>
      <c r="D190" s="9">
        <v>71.736333333333306</v>
      </c>
      <c r="E190" s="9">
        <v>42.605166666666697</v>
      </c>
      <c r="F190" s="2">
        <v>-286</v>
      </c>
      <c r="G190" s="1" t="s">
        <v>40</v>
      </c>
      <c r="H190" s="49" t="s">
        <v>52</v>
      </c>
      <c r="I190" s="2">
        <v>8561.2000000000007</v>
      </c>
      <c r="J190" s="2">
        <v>202.76</v>
      </c>
      <c r="K190" s="2">
        <v>149.25800000000001</v>
      </c>
      <c r="L190" s="2">
        <v>2</v>
      </c>
      <c r="M190" s="76">
        <v>0.156307482604575</v>
      </c>
      <c r="N190" s="56" t="s">
        <v>1075</v>
      </c>
    </row>
    <row r="191" spans="1:14" x14ac:dyDescent="0.2">
      <c r="A191" s="17" t="s">
        <v>536</v>
      </c>
      <c r="B191" s="17" t="s">
        <v>537</v>
      </c>
      <c r="C191" s="83" t="s">
        <v>530</v>
      </c>
      <c r="D191" s="18">
        <v>69.400000000000006</v>
      </c>
      <c r="E191" s="18">
        <v>123.83</v>
      </c>
      <c r="F191" s="84">
        <v>81</v>
      </c>
      <c r="G191" s="17" t="s">
        <v>19</v>
      </c>
      <c r="H191" s="62" t="s">
        <v>217</v>
      </c>
      <c r="I191" s="19">
        <v>12669.7</v>
      </c>
      <c r="J191" s="19">
        <v>61.76</v>
      </c>
      <c r="K191" s="19">
        <v>391</v>
      </c>
      <c r="L191" s="84">
        <v>1</v>
      </c>
      <c r="M191" s="81">
        <v>-2.95736263422762</v>
      </c>
      <c r="N191" s="62" t="s">
        <v>538</v>
      </c>
    </row>
    <row r="193" spans="2:3" x14ac:dyDescent="0.2">
      <c r="B193" s="82"/>
      <c r="C193" s="82"/>
    </row>
    <row r="194" spans="2:3" x14ac:dyDescent="0.2">
      <c r="B194" s="82"/>
      <c r="C194" s="82"/>
    </row>
    <row r="195" spans="2:3" x14ac:dyDescent="0.2">
      <c r="B195" s="82"/>
      <c r="C195" s="82"/>
    </row>
    <row r="196" spans="2:3" x14ac:dyDescent="0.2">
      <c r="B196" s="82"/>
      <c r="C196" s="82"/>
    </row>
    <row r="197" spans="2:3" x14ac:dyDescent="0.2">
      <c r="B197" s="82"/>
      <c r="C197" s="82"/>
    </row>
  </sheetData>
  <phoneticPr fontId="20" type="noConversion"/>
  <pageMargins left="0.75" right="0.75" top="1" bottom="1" header="0.51" footer="0.51"/>
  <pageSetup scale="53" firstPageNumber="0" fitToHeight="5" orientation="landscape"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47"/>
  <sheetViews>
    <sheetView workbookViewId="0"/>
  </sheetViews>
  <sheetFormatPr baseColWidth="10" defaultColWidth="8.83203125" defaultRowHeight="16" x14ac:dyDescent="0.2"/>
  <cols>
    <col min="1" max="1" width="255.6640625" customWidth="1"/>
  </cols>
  <sheetData>
    <row r="1" spans="1:1" s="85" customFormat="1" ht="14" x14ac:dyDescent="0.15">
      <c r="A1" s="92" t="s">
        <v>1774</v>
      </c>
    </row>
    <row r="2" spans="1:1" s="85" customFormat="1" ht="14" x14ac:dyDescent="0.15">
      <c r="A2" s="92"/>
    </row>
    <row r="3" spans="1:1" x14ac:dyDescent="0.2">
      <c r="A3" s="91" t="s">
        <v>1366</v>
      </c>
    </row>
    <row r="4" spans="1:1" x14ac:dyDescent="0.2">
      <c r="A4" s="91" t="s">
        <v>1633</v>
      </c>
    </row>
    <row r="5" spans="1:1" x14ac:dyDescent="0.2">
      <c r="A5" s="91" t="s">
        <v>1634</v>
      </c>
    </row>
    <row r="6" spans="1:1" x14ac:dyDescent="0.2">
      <c r="A6" s="91" t="s">
        <v>1635</v>
      </c>
    </row>
    <row r="7" spans="1:1" x14ac:dyDescent="0.2">
      <c r="A7" s="91" t="s">
        <v>1376</v>
      </c>
    </row>
    <row r="8" spans="1:1" x14ac:dyDescent="0.2">
      <c r="A8" s="91" t="s">
        <v>1636</v>
      </c>
    </row>
    <row r="9" spans="1:1" x14ac:dyDescent="0.2">
      <c r="A9" s="91" t="s">
        <v>1637</v>
      </c>
    </row>
    <row r="10" spans="1:1" ht="14.25" customHeight="1" x14ac:dyDescent="0.2">
      <c r="A10" s="91" t="s">
        <v>1638</v>
      </c>
    </row>
    <row r="11" spans="1:1" x14ac:dyDescent="0.2">
      <c r="A11" s="91" t="s">
        <v>1639</v>
      </c>
    </row>
    <row r="12" spans="1:1" x14ac:dyDescent="0.2">
      <c r="A12" s="91" t="s">
        <v>1640</v>
      </c>
    </row>
    <row r="13" spans="1:1" x14ac:dyDescent="0.2">
      <c r="A13" s="91" t="s">
        <v>1641</v>
      </c>
    </row>
    <row r="14" spans="1:1" x14ac:dyDescent="0.2">
      <c r="A14" s="91" t="s">
        <v>1409</v>
      </c>
    </row>
    <row r="15" spans="1:1" x14ac:dyDescent="0.2">
      <c r="A15" s="91" t="s">
        <v>1642</v>
      </c>
    </row>
    <row r="16" spans="1:1" x14ac:dyDescent="0.2">
      <c r="A16" s="91" t="s">
        <v>1643</v>
      </c>
    </row>
    <row r="17" spans="1:1" x14ac:dyDescent="0.2">
      <c r="A17" s="91" t="s">
        <v>1644</v>
      </c>
    </row>
    <row r="18" spans="1:1" x14ac:dyDescent="0.2">
      <c r="A18" s="91" t="s">
        <v>1645</v>
      </c>
    </row>
    <row r="19" spans="1:1" x14ac:dyDescent="0.2">
      <c r="A19" s="91" t="s">
        <v>1758</v>
      </c>
    </row>
    <row r="20" spans="1:1" x14ac:dyDescent="0.2">
      <c r="A20" s="91" t="s">
        <v>1646</v>
      </c>
    </row>
    <row r="21" spans="1:1" x14ac:dyDescent="0.2">
      <c r="A21" s="91" t="s">
        <v>1647</v>
      </c>
    </row>
    <row r="22" spans="1:1" x14ac:dyDescent="0.2">
      <c r="A22" s="91" t="s">
        <v>1648</v>
      </c>
    </row>
    <row r="23" spans="1:1" x14ac:dyDescent="0.2">
      <c r="A23" s="91" t="s">
        <v>1649</v>
      </c>
    </row>
    <row r="24" spans="1:1" x14ac:dyDescent="0.2">
      <c r="A24" s="91" t="s">
        <v>1650</v>
      </c>
    </row>
    <row r="25" spans="1:1" x14ac:dyDescent="0.2">
      <c r="A25" s="91" t="s">
        <v>1651</v>
      </c>
    </row>
    <row r="26" spans="1:1" x14ac:dyDescent="0.2">
      <c r="A26" s="91" t="s">
        <v>1652</v>
      </c>
    </row>
    <row r="27" spans="1:1" x14ac:dyDescent="0.2">
      <c r="A27" s="91" t="s">
        <v>1653</v>
      </c>
    </row>
    <row r="28" spans="1:1" x14ac:dyDescent="0.2">
      <c r="A28" s="91" t="s">
        <v>1654</v>
      </c>
    </row>
    <row r="29" spans="1:1" x14ac:dyDescent="0.2">
      <c r="A29" s="91" t="s">
        <v>1287</v>
      </c>
    </row>
    <row r="30" spans="1:1" x14ac:dyDescent="0.2">
      <c r="A30" s="91" t="s">
        <v>1415</v>
      </c>
    </row>
    <row r="31" spans="1:1" x14ac:dyDescent="0.2">
      <c r="A31" s="91" t="s">
        <v>1655</v>
      </c>
    </row>
    <row r="32" spans="1:1" x14ac:dyDescent="0.2">
      <c r="A32" s="91" t="s">
        <v>1656</v>
      </c>
    </row>
    <row r="33" spans="1:1" x14ac:dyDescent="0.2">
      <c r="A33" s="91" t="s">
        <v>1421</v>
      </c>
    </row>
    <row r="34" spans="1:1" x14ac:dyDescent="0.2">
      <c r="A34" s="91" t="s">
        <v>1657</v>
      </c>
    </row>
    <row r="35" spans="1:1" x14ac:dyDescent="0.2">
      <c r="A35" s="91" t="s">
        <v>1658</v>
      </c>
    </row>
    <row r="36" spans="1:1" x14ac:dyDescent="0.2">
      <c r="A36" s="91" t="s">
        <v>1659</v>
      </c>
    </row>
    <row r="37" spans="1:1" x14ac:dyDescent="0.2">
      <c r="A37" s="91" t="s">
        <v>1660</v>
      </c>
    </row>
    <row r="38" spans="1:1" x14ac:dyDescent="0.2">
      <c r="A38" s="91" t="s">
        <v>1661</v>
      </c>
    </row>
    <row r="39" spans="1:1" x14ac:dyDescent="0.2">
      <c r="A39" s="91" t="s">
        <v>1662</v>
      </c>
    </row>
    <row r="40" spans="1:1" x14ac:dyDescent="0.2">
      <c r="A40" s="91" t="s">
        <v>1663</v>
      </c>
    </row>
    <row r="41" spans="1:1" ht="15.75" customHeight="1" x14ac:dyDescent="0.2">
      <c r="A41" s="91" t="s">
        <v>1664</v>
      </c>
    </row>
    <row r="42" spans="1:1" x14ac:dyDescent="0.2">
      <c r="A42" s="91" t="s">
        <v>1665</v>
      </c>
    </row>
    <row r="43" spans="1:1" x14ac:dyDescent="0.2">
      <c r="A43" s="91" t="s">
        <v>1666</v>
      </c>
    </row>
    <row r="44" spans="1:1" x14ac:dyDescent="0.2">
      <c r="A44" s="91" t="s">
        <v>1667</v>
      </c>
    </row>
    <row r="45" spans="1:1" x14ac:dyDescent="0.2">
      <c r="A45" s="91" t="s">
        <v>1288</v>
      </c>
    </row>
    <row r="46" spans="1:1" x14ac:dyDescent="0.2">
      <c r="A46" s="91" t="s">
        <v>1668</v>
      </c>
    </row>
    <row r="47" spans="1:1" x14ac:dyDescent="0.2">
      <c r="A47" s="91" t="s">
        <v>1669</v>
      </c>
    </row>
    <row r="48" spans="1:1" x14ac:dyDescent="0.2">
      <c r="A48" s="91" t="s">
        <v>1670</v>
      </c>
    </row>
    <row r="49" spans="1:1" ht="15.75" customHeight="1" x14ac:dyDescent="0.2">
      <c r="A49" s="91" t="s">
        <v>1671</v>
      </c>
    </row>
    <row r="50" spans="1:1" x14ac:dyDescent="0.2">
      <c r="A50" s="91" t="s">
        <v>1440</v>
      </c>
    </row>
    <row r="51" spans="1:1" x14ac:dyDescent="0.2">
      <c r="A51" s="91" t="s">
        <v>1672</v>
      </c>
    </row>
    <row r="52" spans="1:1" x14ac:dyDescent="0.2">
      <c r="A52" s="91" t="s">
        <v>1673</v>
      </c>
    </row>
    <row r="53" spans="1:1" x14ac:dyDescent="0.2">
      <c r="A53" s="91" t="s">
        <v>1674</v>
      </c>
    </row>
    <row r="54" spans="1:1" x14ac:dyDescent="0.2">
      <c r="A54" s="91" t="s">
        <v>1675</v>
      </c>
    </row>
    <row r="55" spans="1:1" x14ac:dyDescent="0.2">
      <c r="A55" s="91" t="s">
        <v>1676</v>
      </c>
    </row>
    <row r="56" spans="1:1" x14ac:dyDescent="0.2">
      <c r="A56" s="91" t="s">
        <v>1677</v>
      </c>
    </row>
    <row r="57" spans="1:1" x14ac:dyDescent="0.2">
      <c r="A57" s="91" t="s">
        <v>1678</v>
      </c>
    </row>
    <row r="58" spans="1:1" x14ac:dyDescent="0.2">
      <c r="A58" s="91" t="s">
        <v>1679</v>
      </c>
    </row>
    <row r="59" spans="1:1" x14ac:dyDescent="0.2">
      <c r="A59" s="91" t="s">
        <v>1680</v>
      </c>
    </row>
    <row r="60" spans="1:1" x14ac:dyDescent="0.2">
      <c r="A60" s="91" t="s">
        <v>1681</v>
      </c>
    </row>
    <row r="61" spans="1:1" x14ac:dyDescent="0.2">
      <c r="A61" s="91" t="s">
        <v>1682</v>
      </c>
    </row>
    <row r="62" spans="1:1" x14ac:dyDescent="0.2">
      <c r="A62" s="91" t="s">
        <v>1683</v>
      </c>
    </row>
    <row r="63" spans="1:1" x14ac:dyDescent="0.2">
      <c r="A63" s="91" t="s">
        <v>1684</v>
      </c>
    </row>
    <row r="64" spans="1:1" x14ac:dyDescent="0.2">
      <c r="A64" s="91" t="s">
        <v>1685</v>
      </c>
    </row>
    <row r="65" spans="1:1" x14ac:dyDescent="0.2">
      <c r="A65" s="91" t="s">
        <v>1686</v>
      </c>
    </row>
    <row r="66" spans="1:1" x14ac:dyDescent="0.2">
      <c r="A66" s="91" t="s">
        <v>1687</v>
      </c>
    </row>
    <row r="67" spans="1:1" x14ac:dyDescent="0.2">
      <c r="A67" s="91" t="s">
        <v>1688</v>
      </c>
    </row>
    <row r="68" spans="1:1" x14ac:dyDescent="0.2">
      <c r="A68" s="91" t="s">
        <v>1689</v>
      </c>
    </row>
    <row r="69" spans="1:1" x14ac:dyDescent="0.2">
      <c r="A69" s="91" t="s">
        <v>1690</v>
      </c>
    </row>
    <row r="70" spans="1:1" x14ac:dyDescent="0.2">
      <c r="A70" s="91" t="s">
        <v>1691</v>
      </c>
    </row>
    <row r="71" spans="1:1" x14ac:dyDescent="0.2">
      <c r="A71" s="91" t="s">
        <v>1692</v>
      </c>
    </row>
    <row r="72" spans="1:1" x14ac:dyDescent="0.2">
      <c r="A72" s="91" t="s">
        <v>1693</v>
      </c>
    </row>
    <row r="73" spans="1:1" x14ac:dyDescent="0.2">
      <c r="A73" s="91" t="s">
        <v>1694</v>
      </c>
    </row>
    <row r="74" spans="1:1" x14ac:dyDescent="0.2">
      <c r="A74" s="91" t="s">
        <v>1695</v>
      </c>
    </row>
    <row r="75" spans="1:1" x14ac:dyDescent="0.2">
      <c r="A75" s="91" t="s">
        <v>1696</v>
      </c>
    </row>
    <row r="76" spans="1:1" x14ac:dyDescent="0.2">
      <c r="A76" s="91" t="s">
        <v>1697</v>
      </c>
    </row>
    <row r="77" spans="1:1" x14ac:dyDescent="0.2">
      <c r="A77" s="91" t="s">
        <v>1698</v>
      </c>
    </row>
    <row r="78" spans="1:1" x14ac:dyDescent="0.2">
      <c r="A78" s="91" t="s">
        <v>1699</v>
      </c>
    </row>
    <row r="79" spans="1:1" x14ac:dyDescent="0.2">
      <c r="A79" s="91" t="s">
        <v>1700</v>
      </c>
    </row>
    <row r="80" spans="1:1" x14ac:dyDescent="0.2">
      <c r="A80" s="91" t="s">
        <v>1701</v>
      </c>
    </row>
    <row r="81" spans="1:1" x14ac:dyDescent="0.2">
      <c r="A81" s="91" t="s">
        <v>1702</v>
      </c>
    </row>
    <row r="82" spans="1:1" x14ac:dyDescent="0.2">
      <c r="A82" s="91" t="s">
        <v>1703</v>
      </c>
    </row>
    <row r="83" spans="1:1" x14ac:dyDescent="0.2">
      <c r="A83" s="91" t="s">
        <v>1704</v>
      </c>
    </row>
    <row r="84" spans="1:1" x14ac:dyDescent="0.2">
      <c r="A84" s="91" t="s">
        <v>1705</v>
      </c>
    </row>
    <row r="85" spans="1:1" x14ac:dyDescent="0.2">
      <c r="A85" s="91" t="s">
        <v>1706</v>
      </c>
    </row>
    <row r="86" spans="1:1" x14ac:dyDescent="0.2">
      <c r="A86" s="91" t="s">
        <v>1707</v>
      </c>
    </row>
    <row r="87" spans="1:1" x14ac:dyDescent="0.2">
      <c r="A87" s="91" t="s">
        <v>1289</v>
      </c>
    </row>
    <row r="88" spans="1:1" x14ac:dyDescent="0.2">
      <c r="A88" s="91" t="s">
        <v>1708</v>
      </c>
    </row>
    <row r="89" spans="1:1" x14ac:dyDescent="0.2">
      <c r="A89" s="91" t="s">
        <v>1709</v>
      </c>
    </row>
    <row r="90" spans="1:1" x14ac:dyDescent="0.2">
      <c r="A90" s="91" t="s">
        <v>1710</v>
      </c>
    </row>
    <row r="91" spans="1:1" x14ac:dyDescent="0.2">
      <c r="A91" s="91" t="s">
        <v>1711</v>
      </c>
    </row>
    <row r="92" spans="1:1" x14ac:dyDescent="0.2">
      <c r="A92" s="91" t="s">
        <v>1712</v>
      </c>
    </row>
    <row r="93" spans="1:1" x14ac:dyDescent="0.2">
      <c r="A93" s="91" t="s">
        <v>1503</v>
      </c>
    </row>
    <row r="94" spans="1:1" x14ac:dyDescent="0.2">
      <c r="A94" s="91" t="s">
        <v>1713</v>
      </c>
    </row>
    <row r="95" spans="1:1" x14ac:dyDescent="0.2">
      <c r="A95" s="91" t="s">
        <v>1714</v>
      </c>
    </row>
    <row r="96" spans="1:1" x14ac:dyDescent="0.2">
      <c r="A96" s="91" t="s">
        <v>1715</v>
      </c>
    </row>
    <row r="97" spans="1:1" x14ac:dyDescent="0.2">
      <c r="A97" s="91" t="s">
        <v>1302</v>
      </c>
    </row>
    <row r="98" spans="1:1" x14ac:dyDescent="0.2">
      <c r="A98" s="91" t="s">
        <v>1716</v>
      </c>
    </row>
    <row r="99" spans="1:1" x14ac:dyDescent="0.2">
      <c r="A99" s="91" t="s">
        <v>1717</v>
      </c>
    </row>
    <row r="100" spans="1:1" x14ac:dyDescent="0.2">
      <c r="A100" s="91" t="s">
        <v>1718</v>
      </c>
    </row>
    <row r="101" spans="1:1" x14ac:dyDescent="0.2">
      <c r="A101" s="91" t="s">
        <v>1719</v>
      </c>
    </row>
    <row r="102" spans="1:1" x14ac:dyDescent="0.2">
      <c r="A102" s="91" t="s">
        <v>1304</v>
      </c>
    </row>
    <row r="103" spans="1:1" x14ac:dyDescent="0.2">
      <c r="A103" s="91" t="s">
        <v>1303</v>
      </c>
    </row>
    <row r="104" spans="1:1" x14ac:dyDescent="0.2">
      <c r="A104" s="91" t="s">
        <v>1720</v>
      </c>
    </row>
    <row r="105" spans="1:1" x14ac:dyDescent="0.2">
      <c r="A105" s="91" t="s">
        <v>1721</v>
      </c>
    </row>
    <row r="106" spans="1:1" x14ac:dyDescent="0.2">
      <c r="A106" s="91" t="s">
        <v>1722</v>
      </c>
    </row>
    <row r="107" spans="1:1" x14ac:dyDescent="0.2">
      <c r="A107" s="91" t="s">
        <v>1723</v>
      </c>
    </row>
    <row r="108" spans="1:1" x14ac:dyDescent="0.2">
      <c r="A108" s="91" t="s">
        <v>1724</v>
      </c>
    </row>
    <row r="109" spans="1:1" x14ac:dyDescent="0.2">
      <c r="A109" s="91" t="s">
        <v>1725</v>
      </c>
    </row>
    <row r="110" spans="1:1" x14ac:dyDescent="0.2">
      <c r="A110" s="91" t="s">
        <v>1726</v>
      </c>
    </row>
    <row r="111" spans="1:1" x14ac:dyDescent="0.2">
      <c r="A111" s="91" t="s">
        <v>1555</v>
      </c>
    </row>
    <row r="112" spans="1:1" x14ac:dyDescent="0.2">
      <c r="A112" s="91" t="s">
        <v>1727</v>
      </c>
    </row>
    <row r="113" spans="1:1" x14ac:dyDescent="0.2">
      <c r="A113" s="91" t="s">
        <v>1728</v>
      </c>
    </row>
    <row r="114" spans="1:1" ht="15.75" customHeight="1" x14ac:dyDescent="0.2">
      <c r="A114" s="91" t="s">
        <v>1729</v>
      </c>
    </row>
    <row r="115" spans="1:1" x14ac:dyDescent="0.2">
      <c r="A115" s="91" t="s">
        <v>1558</v>
      </c>
    </row>
    <row r="116" spans="1:1" x14ac:dyDescent="0.2">
      <c r="A116" s="91" t="s">
        <v>1730</v>
      </c>
    </row>
    <row r="117" spans="1:1" x14ac:dyDescent="0.2">
      <c r="A117" s="91" t="s">
        <v>1731</v>
      </c>
    </row>
    <row r="118" spans="1:1" x14ac:dyDescent="0.2">
      <c r="A118" s="91" t="s">
        <v>1732</v>
      </c>
    </row>
    <row r="119" spans="1:1" x14ac:dyDescent="0.2">
      <c r="A119" s="91" t="s">
        <v>1733</v>
      </c>
    </row>
    <row r="120" spans="1:1" x14ac:dyDescent="0.2">
      <c r="A120" s="91" t="s">
        <v>1734</v>
      </c>
    </row>
    <row r="121" spans="1:1" x14ac:dyDescent="0.2">
      <c r="A121" s="91" t="s">
        <v>1735</v>
      </c>
    </row>
    <row r="122" spans="1:1" x14ac:dyDescent="0.2">
      <c r="A122" s="91" t="s">
        <v>1736</v>
      </c>
    </row>
    <row r="123" spans="1:1" x14ac:dyDescent="0.2">
      <c r="A123" s="91" t="s">
        <v>1737</v>
      </c>
    </row>
    <row r="124" spans="1:1" x14ac:dyDescent="0.2">
      <c r="A124" s="91" t="s">
        <v>1738</v>
      </c>
    </row>
    <row r="125" spans="1:1" x14ac:dyDescent="0.2">
      <c r="A125" s="91" t="s">
        <v>1739</v>
      </c>
    </row>
    <row r="126" spans="1:1" x14ac:dyDescent="0.2">
      <c r="A126" s="91" t="s">
        <v>1759</v>
      </c>
    </row>
    <row r="127" spans="1:1" x14ac:dyDescent="0.2">
      <c r="A127" s="91" t="s">
        <v>1740</v>
      </c>
    </row>
    <row r="128" spans="1:1" x14ac:dyDescent="0.2">
      <c r="A128" s="91" t="s">
        <v>1741</v>
      </c>
    </row>
    <row r="129" spans="1:1" x14ac:dyDescent="0.2">
      <c r="A129" s="91" t="s">
        <v>1742</v>
      </c>
    </row>
    <row r="130" spans="1:1" x14ac:dyDescent="0.2">
      <c r="A130" s="91" t="s">
        <v>1743</v>
      </c>
    </row>
    <row r="131" spans="1:1" x14ac:dyDescent="0.2">
      <c r="A131" s="91" t="s">
        <v>1574</v>
      </c>
    </row>
    <row r="132" spans="1:1" x14ac:dyDescent="0.2">
      <c r="A132" s="91" t="s">
        <v>1744</v>
      </c>
    </row>
    <row r="133" spans="1:1" x14ac:dyDescent="0.2">
      <c r="A133" s="91" t="s">
        <v>1745</v>
      </c>
    </row>
    <row r="134" spans="1:1" x14ac:dyDescent="0.2">
      <c r="A134" s="91" t="s">
        <v>1746</v>
      </c>
    </row>
    <row r="135" spans="1:1" x14ac:dyDescent="0.2">
      <c r="A135" s="91" t="s">
        <v>1747</v>
      </c>
    </row>
    <row r="136" spans="1:1" x14ac:dyDescent="0.2">
      <c r="A136" s="91" t="s">
        <v>1578</v>
      </c>
    </row>
    <row r="137" spans="1:1" x14ac:dyDescent="0.2">
      <c r="A137" s="91" t="s">
        <v>1748</v>
      </c>
    </row>
    <row r="138" spans="1:1" x14ac:dyDescent="0.2">
      <c r="A138" s="91" t="s">
        <v>1749</v>
      </c>
    </row>
    <row r="139" spans="1:1" x14ac:dyDescent="0.2">
      <c r="A139" s="91" t="s">
        <v>1750</v>
      </c>
    </row>
    <row r="140" spans="1:1" x14ac:dyDescent="0.2">
      <c r="A140" s="91" t="s">
        <v>1751</v>
      </c>
    </row>
    <row r="141" spans="1:1" x14ac:dyDescent="0.2">
      <c r="A141" s="91" t="s">
        <v>1752</v>
      </c>
    </row>
    <row r="142" spans="1:1" x14ac:dyDescent="0.2">
      <c r="A142" s="91" t="s">
        <v>1753</v>
      </c>
    </row>
    <row r="143" spans="1:1" x14ac:dyDescent="0.2">
      <c r="A143" s="91" t="s">
        <v>1754</v>
      </c>
    </row>
    <row r="144" spans="1:1" x14ac:dyDescent="0.2">
      <c r="A144" s="91" t="s">
        <v>1760</v>
      </c>
    </row>
    <row r="145" spans="1:1" x14ac:dyDescent="0.2">
      <c r="A145" s="91" t="s">
        <v>1755</v>
      </c>
    </row>
    <row r="146" spans="1:1" x14ac:dyDescent="0.2">
      <c r="A146" s="91" t="s">
        <v>1756</v>
      </c>
    </row>
    <row r="147" spans="1:1" x14ac:dyDescent="0.2">
      <c r="A147" s="91" t="s">
        <v>1757</v>
      </c>
    </row>
  </sheetData>
  <phoneticPr fontId="24" type="noConversion"/>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46"/>
  <sheetViews>
    <sheetView workbookViewId="0">
      <selection activeCell="J2" sqref="J2"/>
    </sheetView>
  </sheetViews>
  <sheetFormatPr baseColWidth="10" defaultColWidth="11" defaultRowHeight="16" x14ac:dyDescent="0.2"/>
  <cols>
    <col min="1" max="1" width="17.83203125" style="3" customWidth="1"/>
    <col min="2" max="2" width="24" style="59" customWidth="1"/>
    <col min="3" max="3" width="18.6640625" style="3" bestFit="1" customWidth="1"/>
    <col min="4" max="4" width="21" style="3" customWidth="1"/>
    <col min="5" max="5" width="20.6640625" style="3" bestFit="1" customWidth="1"/>
    <col min="6" max="6" width="13.5" style="3" bestFit="1" customWidth="1"/>
    <col min="7" max="7" width="13.1640625" style="3" customWidth="1"/>
    <col min="8" max="8" width="14.5" style="3" customWidth="1"/>
    <col min="9" max="9" width="8.5" style="3" bestFit="1" customWidth="1"/>
    <col min="10" max="10" width="14.6640625" style="13" bestFit="1" customWidth="1"/>
  </cols>
  <sheetData>
    <row r="1" spans="1:10" s="67" customFormat="1" ht="25" customHeight="1" x14ac:dyDescent="0.25">
      <c r="A1" s="63" t="s">
        <v>1767</v>
      </c>
      <c r="B1" s="66"/>
      <c r="C1" s="64"/>
      <c r="D1" s="64"/>
      <c r="E1" s="64"/>
      <c r="F1" s="64"/>
      <c r="G1" s="64"/>
      <c r="H1" s="64"/>
      <c r="I1" s="64"/>
      <c r="J1" s="71"/>
    </row>
    <row r="2" spans="1:10" ht="13" customHeight="1" x14ac:dyDescent="0.2">
      <c r="A2" s="1"/>
      <c r="B2" s="49"/>
      <c r="C2" s="1"/>
      <c r="D2" s="1"/>
      <c r="E2" s="1"/>
      <c r="F2" s="1"/>
      <c r="G2" s="1"/>
      <c r="H2" s="1"/>
      <c r="I2" s="1"/>
    </row>
    <row r="3" spans="1:10" ht="13" customHeight="1" x14ac:dyDescent="0.2">
      <c r="A3" s="4" t="s">
        <v>0</v>
      </c>
      <c r="B3" s="49"/>
      <c r="C3" s="1"/>
      <c r="D3" s="1"/>
      <c r="E3" s="1"/>
      <c r="F3" s="1"/>
      <c r="G3" s="1"/>
      <c r="H3" s="1"/>
      <c r="I3" s="1"/>
    </row>
    <row r="4" spans="1:10" ht="13" customHeight="1" x14ac:dyDescent="0.2">
      <c r="A4" s="1" t="s">
        <v>539</v>
      </c>
      <c r="B4" s="49"/>
      <c r="C4" s="1"/>
      <c r="D4" s="1"/>
      <c r="E4" s="1"/>
      <c r="F4" s="1"/>
      <c r="G4" s="1"/>
      <c r="H4" s="1"/>
      <c r="I4" s="1"/>
    </row>
    <row r="5" spans="1:10" ht="13" customHeight="1" x14ac:dyDescent="0.2">
      <c r="A5" s="1" t="s">
        <v>959</v>
      </c>
      <c r="B5" s="49"/>
      <c r="C5" s="1"/>
      <c r="D5" s="1"/>
      <c r="E5" s="1"/>
      <c r="F5" s="1"/>
      <c r="G5" s="1"/>
      <c r="H5" s="1"/>
      <c r="I5" s="1"/>
    </row>
    <row r="6" spans="1:10" ht="13" customHeight="1" x14ac:dyDescent="0.2">
      <c r="A6" s="1" t="s">
        <v>1269</v>
      </c>
      <c r="B6" s="49"/>
      <c r="C6" s="1"/>
      <c r="D6" s="1"/>
      <c r="E6" s="1"/>
      <c r="F6" s="1"/>
      <c r="G6" s="1"/>
      <c r="H6" s="1"/>
      <c r="I6" s="1"/>
    </row>
    <row r="7" spans="1:10" ht="13" customHeight="1" x14ac:dyDescent="0.2">
      <c r="A7" s="5" t="s">
        <v>960</v>
      </c>
      <c r="B7" s="49"/>
      <c r="C7" s="1"/>
      <c r="D7" s="1"/>
      <c r="E7" s="1"/>
      <c r="F7" s="1"/>
      <c r="G7" s="1"/>
      <c r="H7" s="1"/>
      <c r="I7" s="1"/>
    </row>
    <row r="8" spans="1:10" ht="13" customHeight="1" x14ac:dyDescent="0.2">
      <c r="A8" s="1" t="s">
        <v>1270</v>
      </c>
      <c r="B8" s="49"/>
      <c r="C8" s="1"/>
      <c r="D8" s="1"/>
      <c r="E8" s="1"/>
      <c r="F8" s="1"/>
      <c r="G8" s="1"/>
      <c r="H8" s="1"/>
      <c r="I8" s="1"/>
    </row>
    <row r="9" spans="1:10" ht="13" customHeight="1" x14ac:dyDescent="0.2">
      <c r="A9" s="1" t="s">
        <v>1329</v>
      </c>
      <c r="B9" s="49"/>
      <c r="C9" s="1"/>
      <c r="D9" s="1"/>
      <c r="E9" s="1"/>
      <c r="F9" s="1"/>
      <c r="G9" s="1"/>
      <c r="H9" s="1"/>
      <c r="I9" s="1"/>
    </row>
    <row r="10" spans="1:10" ht="13" customHeight="1" x14ac:dyDescent="0.2">
      <c r="A10" s="85" t="s">
        <v>1330</v>
      </c>
      <c r="B10" s="49"/>
      <c r="C10" s="1"/>
      <c r="D10" s="1"/>
      <c r="E10" s="1"/>
      <c r="F10" s="1"/>
      <c r="G10" s="1"/>
      <c r="H10" s="1"/>
      <c r="I10" s="1"/>
    </row>
    <row r="11" spans="1:10" ht="13" customHeight="1" x14ac:dyDescent="0.2">
      <c r="A11" s="85" t="s">
        <v>1331</v>
      </c>
      <c r="B11" s="49"/>
      <c r="C11" s="1"/>
      <c r="D11" s="1"/>
      <c r="E11" s="1"/>
      <c r="F11" s="1"/>
      <c r="G11" s="1"/>
      <c r="H11" s="1"/>
      <c r="I11" s="1"/>
    </row>
    <row r="12" spans="1:10" ht="13" customHeight="1" x14ac:dyDescent="0.2">
      <c r="A12" s="93"/>
      <c r="B12" s="62"/>
      <c r="C12" s="17"/>
      <c r="D12" s="17"/>
      <c r="E12" s="17"/>
      <c r="F12" s="17"/>
      <c r="G12" s="17"/>
      <c r="H12" s="17"/>
      <c r="I12" s="17"/>
      <c r="J12" s="24"/>
    </row>
    <row r="13" spans="1:10" ht="18" customHeight="1" x14ac:dyDescent="0.2">
      <c r="A13" s="1"/>
      <c r="B13" s="49"/>
      <c r="C13" s="1"/>
      <c r="D13" s="1"/>
      <c r="E13" s="22" t="s">
        <v>961</v>
      </c>
      <c r="F13" s="17"/>
      <c r="G13" s="17"/>
      <c r="H13" s="17"/>
      <c r="I13" s="17"/>
      <c r="J13" s="24"/>
    </row>
    <row r="14" spans="1:10" ht="30" customHeight="1" x14ac:dyDescent="0.2">
      <c r="A14" s="20" t="s">
        <v>962</v>
      </c>
      <c r="B14" s="20" t="s">
        <v>8</v>
      </c>
      <c r="C14" s="20" t="s">
        <v>963</v>
      </c>
      <c r="D14" s="20" t="s">
        <v>964</v>
      </c>
      <c r="E14" s="20" t="s">
        <v>965</v>
      </c>
      <c r="F14" s="20" t="s">
        <v>966</v>
      </c>
      <c r="G14" s="20" t="s">
        <v>967</v>
      </c>
      <c r="H14" s="20" t="s">
        <v>1323</v>
      </c>
      <c r="I14" s="20" t="s">
        <v>968</v>
      </c>
      <c r="J14" s="25" t="s">
        <v>1282</v>
      </c>
    </row>
    <row r="15" spans="1:10" ht="25" customHeight="1" x14ac:dyDescent="0.2">
      <c r="A15" s="14" t="s">
        <v>15</v>
      </c>
    </row>
    <row r="16" spans="1:10" x14ac:dyDescent="0.2">
      <c r="A16" s="3" t="s">
        <v>16</v>
      </c>
      <c r="B16" s="59" t="s">
        <v>20</v>
      </c>
      <c r="C16" s="3" t="s">
        <v>969</v>
      </c>
      <c r="D16" s="3" t="s">
        <v>970</v>
      </c>
      <c r="E16" s="3" t="s">
        <v>969</v>
      </c>
      <c r="F16" s="3" t="s">
        <v>1071</v>
      </c>
      <c r="G16" s="3" t="s">
        <v>971</v>
      </c>
      <c r="H16" s="3" t="s">
        <v>972</v>
      </c>
      <c r="I16" s="3" t="s">
        <v>973</v>
      </c>
      <c r="J16" s="13" t="s">
        <v>974</v>
      </c>
    </row>
    <row r="17" spans="1:10" x14ac:dyDescent="0.2">
      <c r="A17" s="3" t="s">
        <v>16</v>
      </c>
      <c r="B17" s="59" t="s">
        <v>20</v>
      </c>
      <c r="C17" s="3" t="s">
        <v>975</v>
      </c>
      <c r="D17" s="3" t="s">
        <v>976</v>
      </c>
      <c r="E17" s="3" t="s">
        <v>975</v>
      </c>
      <c r="F17" s="3" t="s">
        <v>977</v>
      </c>
      <c r="G17" s="3" t="s">
        <v>978</v>
      </c>
      <c r="H17" s="3" t="s">
        <v>972</v>
      </c>
      <c r="I17" s="3" t="s">
        <v>973</v>
      </c>
      <c r="J17" s="13" t="s">
        <v>974</v>
      </c>
    </row>
    <row r="18" spans="1:10" x14ac:dyDescent="0.2">
      <c r="A18" s="3" t="s">
        <v>16</v>
      </c>
      <c r="B18" s="59" t="s">
        <v>20</v>
      </c>
      <c r="C18" s="3" t="s">
        <v>975</v>
      </c>
      <c r="D18" s="3" t="s">
        <v>976</v>
      </c>
      <c r="E18" s="3" t="s">
        <v>975</v>
      </c>
      <c r="F18" s="3" t="s">
        <v>977</v>
      </c>
      <c r="G18" s="3" t="s">
        <v>979</v>
      </c>
      <c r="H18" s="3" t="s">
        <v>972</v>
      </c>
      <c r="I18" s="3" t="s">
        <v>973</v>
      </c>
      <c r="J18" s="13" t="s">
        <v>974</v>
      </c>
    </row>
    <row r="19" spans="1:10" x14ac:dyDescent="0.2">
      <c r="A19" s="3" t="s">
        <v>22</v>
      </c>
      <c r="B19" s="59" t="s">
        <v>20</v>
      </c>
      <c r="C19" s="3" t="s">
        <v>969</v>
      </c>
      <c r="D19" s="3" t="s">
        <v>970</v>
      </c>
      <c r="E19" s="3" t="s">
        <v>969</v>
      </c>
      <c r="F19" s="3" t="s">
        <v>1071</v>
      </c>
      <c r="G19" s="3" t="s">
        <v>971</v>
      </c>
      <c r="H19" s="3" t="s">
        <v>972</v>
      </c>
      <c r="I19" s="3" t="s">
        <v>973</v>
      </c>
      <c r="J19" s="13" t="s">
        <v>974</v>
      </c>
    </row>
    <row r="20" spans="1:10" x14ac:dyDescent="0.2">
      <c r="A20" s="3" t="s">
        <v>22</v>
      </c>
      <c r="B20" s="59" t="s">
        <v>20</v>
      </c>
      <c r="C20" s="3" t="s">
        <v>975</v>
      </c>
      <c r="D20" s="3" t="s">
        <v>976</v>
      </c>
      <c r="E20" s="3" t="s">
        <v>975</v>
      </c>
      <c r="F20" s="3" t="s">
        <v>977</v>
      </c>
      <c r="G20" s="3" t="s">
        <v>978</v>
      </c>
      <c r="H20" s="3" t="s">
        <v>972</v>
      </c>
      <c r="I20" s="3" t="s">
        <v>973</v>
      </c>
      <c r="J20" s="13" t="s">
        <v>974</v>
      </c>
    </row>
    <row r="21" spans="1:10" x14ac:dyDescent="0.2">
      <c r="A21" s="3" t="s">
        <v>22</v>
      </c>
      <c r="B21" s="59" t="s">
        <v>20</v>
      </c>
      <c r="C21" s="3" t="s">
        <v>975</v>
      </c>
      <c r="D21" s="3" t="s">
        <v>976</v>
      </c>
      <c r="E21" s="3" t="s">
        <v>975</v>
      </c>
      <c r="F21" s="3" t="s">
        <v>977</v>
      </c>
      <c r="G21" s="3" t="s">
        <v>979</v>
      </c>
      <c r="H21" s="3" t="s">
        <v>972</v>
      </c>
      <c r="I21" s="3" t="s">
        <v>973</v>
      </c>
      <c r="J21" s="13" t="s">
        <v>974</v>
      </c>
    </row>
    <row r="22" spans="1:10" x14ac:dyDescent="0.2">
      <c r="A22" s="3" t="s">
        <v>24</v>
      </c>
      <c r="B22" s="59" t="s">
        <v>20</v>
      </c>
      <c r="C22" s="3" t="s">
        <v>969</v>
      </c>
      <c r="D22" s="3" t="s">
        <v>970</v>
      </c>
      <c r="E22" s="3" t="s">
        <v>969</v>
      </c>
      <c r="F22" s="3" t="s">
        <v>1071</v>
      </c>
      <c r="G22" s="3" t="s">
        <v>971</v>
      </c>
      <c r="H22" s="3" t="s">
        <v>972</v>
      </c>
      <c r="I22" s="3" t="s">
        <v>973</v>
      </c>
      <c r="J22" s="13" t="s">
        <v>974</v>
      </c>
    </row>
    <row r="23" spans="1:10" x14ac:dyDescent="0.2">
      <c r="A23" s="3" t="s">
        <v>24</v>
      </c>
      <c r="B23" s="59" t="s">
        <v>20</v>
      </c>
      <c r="C23" s="3" t="s">
        <v>975</v>
      </c>
      <c r="D23" s="3" t="s">
        <v>976</v>
      </c>
      <c r="E23" s="3" t="s">
        <v>975</v>
      </c>
      <c r="F23" s="3" t="s">
        <v>977</v>
      </c>
      <c r="G23" s="3" t="s">
        <v>978</v>
      </c>
      <c r="H23" s="3" t="s">
        <v>972</v>
      </c>
      <c r="I23" s="3" t="s">
        <v>973</v>
      </c>
      <c r="J23" s="13" t="s">
        <v>974</v>
      </c>
    </row>
    <row r="24" spans="1:10" x14ac:dyDescent="0.2">
      <c r="A24" s="3" t="s">
        <v>24</v>
      </c>
      <c r="B24" s="59" t="s">
        <v>20</v>
      </c>
      <c r="C24" s="3" t="s">
        <v>975</v>
      </c>
      <c r="D24" s="3" t="s">
        <v>976</v>
      </c>
      <c r="E24" s="3" t="s">
        <v>975</v>
      </c>
      <c r="F24" s="3" t="s">
        <v>977</v>
      </c>
      <c r="G24" s="3" t="s">
        <v>979</v>
      </c>
      <c r="H24" s="3" t="s">
        <v>972</v>
      </c>
      <c r="I24" s="3" t="s">
        <v>973</v>
      </c>
      <c r="J24" s="13" t="s">
        <v>974</v>
      </c>
    </row>
    <row r="25" spans="1:10" x14ac:dyDescent="0.2">
      <c r="A25" s="3" t="s">
        <v>28</v>
      </c>
      <c r="B25" s="59" t="s">
        <v>31</v>
      </c>
      <c r="C25" s="3" t="s">
        <v>980</v>
      </c>
      <c r="D25" s="3" t="s">
        <v>981</v>
      </c>
      <c r="E25" s="3" t="s">
        <v>1320</v>
      </c>
      <c r="F25" s="3" t="s">
        <v>1321</v>
      </c>
      <c r="G25" s="3" t="s">
        <v>971</v>
      </c>
      <c r="I25" s="3" t="s">
        <v>982</v>
      </c>
    </row>
    <row r="26" spans="1:10" x14ac:dyDescent="0.2">
      <c r="A26" s="3" t="s">
        <v>33</v>
      </c>
      <c r="B26" s="59" t="s">
        <v>35</v>
      </c>
      <c r="C26" s="3" t="s">
        <v>983</v>
      </c>
      <c r="D26" s="3" t="s">
        <v>984</v>
      </c>
      <c r="E26" s="3" t="s">
        <v>975</v>
      </c>
      <c r="F26" s="3" t="s">
        <v>985</v>
      </c>
      <c r="G26" s="3" t="s">
        <v>986</v>
      </c>
      <c r="I26" s="3" t="s">
        <v>973</v>
      </c>
    </row>
    <row r="27" spans="1:10" x14ac:dyDescent="0.2">
      <c r="A27" s="86" t="s">
        <v>37</v>
      </c>
      <c r="B27" s="87" t="s">
        <v>52</v>
      </c>
      <c r="C27" s="86" t="s">
        <v>987</v>
      </c>
      <c r="D27" s="86" t="s">
        <v>988</v>
      </c>
      <c r="E27" s="86" t="s">
        <v>76</v>
      </c>
      <c r="F27" s="86" t="s">
        <v>989</v>
      </c>
      <c r="G27" s="86" t="s">
        <v>971</v>
      </c>
      <c r="H27" s="86" t="s">
        <v>972</v>
      </c>
      <c r="I27" s="86" t="s">
        <v>973</v>
      </c>
      <c r="J27" s="88" t="s">
        <v>974</v>
      </c>
    </row>
    <row r="28" spans="1:10" x14ac:dyDescent="0.2">
      <c r="A28" s="3" t="s">
        <v>37</v>
      </c>
      <c r="B28" s="59" t="s">
        <v>52</v>
      </c>
      <c r="C28" s="3" t="s">
        <v>990</v>
      </c>
      <c r="D28" s="3" t="s">
        <v>991</v>
      </c>
      <c r="E28" s="3" t="s">
        <v>76</v>
      </c>
      <c r="F28" s="3" t="s">
        <v>989</v>
      </c>
      <c r="G28" s="3" t="s">
        <v>971</v>
      </c>
      <c r="H28" s="3" t="s">
        <v>972</v>
      </c>
      <c r="I28" s="3" t="s">
        <v>973</v>
      </c>
      <c r="J28" s="13" t="s">
        <v>974</v>
      </c>
    </row>
    <row r="29" spans="1:10" x14ac:dyDescent="0.2">
      <c r="A29" s="3" t="s">
        <v>37</v>
      </c>
      <c r="B29" s="59" t="s">
        <v>52</v>
      </c>
      <c r="C29" s="3" t="s">
        <v>992</v>
      </c>
      <c r="D29" s="3" t="s">
        <v>993</v>
      </c>
      <c r="E29" s="3" t="s">
        <v>992</v>
      </c>
      <c r="F29" s="3" t="s">
        <v>994</v>
      </c>
      <c r="G29" s="3" t="s">
        <v>986</v>
      </c>
      <c r="H29" s="3" t="s">
        <v>972</v>
      </c>
      <c r="I29" s="3" t="s">
        <v>973</v>
      </c>
      <c r="J29" s="13" t="s">
        <v>974</v>
      </c>
    </row>
    <row r="30" spans="1:10" x14ac:dyDescent="0.2">
      <c r="A30" s="3" t="s">
        <v>37</v>
      </c>
      <c r="B30" s="59" t="s">
        <v>52</v>
      </c>
      <c r="C30" s="3" t="s">
        <v>992</v>
      </c>
      <c r="D30" s="3" t="s">
        <v>993</v>
      </c>
      <c r="E30" s="3" t="s">
        <v>992</v>
      </c>
      <c r="F30" s="3" t="s">
        <v>994</v>
      </c>
      <c r="G30" s="3" t="s">
        <v>995</v>
      </c>
      <c r="H30" s="3" t="s">
        <v>972</v>
      </c>
      <c r="I30" s="3" t="s">
        <v>973</v>
      </c>
      <c r="J30" s="13" t="s">
        <v>974</v>
      </c>
    </row>
    <row r="31" spans="1:10" x14ac:dyDescent="0.2">
      <c r="A31" s="3" t="s">
        <v>37</v>
      </c>
      <c r="B31" s="59" t="s">
        <v>880</v>
      </c>
      <c r="C31" s="3" t="s">
        <v>975</v>
      </c>
      <c r="D31" s="3" t="s">
        <v>976</v>
      </c>
      <c r="E31" s="3" t="s">
        <v>975</v>
      </c>
      <c r="F31" s="3" t="s">
        <v>996</v>
      </c>
      <c r="G31" s="3" t="s">
        <v>971</v>
      </c>
      <c r="I31" s="3" t="s">
        <v>973</v>
      </c>
      <c r="J31" s="13" t="s">
        <v>974</v>
      </c>
    </row>
    <row r="32" spans="1:10" x14ac:dyDescent="0.2">
      <c r="A32" s="3" t="s">
        <v>37</v>
      </c>
      <c r="B32" s="59" t="s">
        <v>880</v>
      </c>
      <c r="C32" s="3" t="s">
        <v>975</v>
      </c>
      <c r="D32" s="3" t="s">
        <v>976</v>
      </c>
      <c r="E32" s="3" t="s">
        <v>975</v>
      </c>
      <c r="F32" s="3" t="s">
        <v>994</v>
      </c>
      <c r="G32" s="3" t="s">
        <v>971</v>
      </c>
      <c r="I32" s="3" t="s">
        <v>973</v>
      </c>
      <c r="J32" s="13" t="s">
        <v>974</v>
      </c>
    </row>
    <row r="33" spans="1:10" x14ac:dyDescent="0.2">
      <c r="A33" s="3" t="s">
        <v>37</v>
      </c>
      <c r="B33" s="59" t="s">
        <v>52</v>
      </c>
      <c r="C33" s="3" t="s">
        <v>975</v>
      </c>
      <c r="D33" s="3" t="s">
        <v>976</v>
      </c>
      <c r="E33" s="3" t="s">
        <v>975</v>
      </c>
      <c r="F33" s="3" t="s">
        <v>994</v>
      </c>
      <c r="G33" s="3" t="s">
        <v>986</v>
      </c>
      <c r="H33" s="3" t="s">
        <v>972</v>
      </c>
      <c r="I33" s="3" t="s">
        <v>973</v>
      </c>
      <c r="J33" s="13" t="s">
        <v>974</v>
      </c>
    </row>
    <row r="34" spans="1:10" x14ac:dyDescent="0.2">
      <c r="A34" s="3" t="s">
        <v>37</v>
      </c>
      <c r="B34" s="59" t="s">
        <v>52</v>
      </c>
      <c r="C34" s="3" t="s">
        <v>975</v>
      </c>
      <c r="D34" s="3" t="s">
        <v>976</v>
      </c>
      <c r="E34" s="3" t="s">
        <v>975</v>
      </c>
      <c r="F34" s="3" t="s">
        <v>994</v>
      </c>
      <c r="G34" s="3" t="s">
        <v>995</v>
      </c>
      <c r="H34" s="3" t="s">
        <v>972</v>
      </c>
      <c r="I34" s="3" t="s">
        <v>973</v>
      </c>
      <c r="J34" s="13" t="s">
        <v>974</v>
      </c>
    </row>
    <row r="35" spans="1:10" x14ac:dyDescent="0.2">
      <c r="A35" s="3" t="s">
        <v>42</v>
      </c>
      <c r="B35" s="59" t="s">
        <v>45</v>
      </c>
      <c r="C35" s="3" t="s">
        <v>45</v>
      </c>
      <c r="D35" s="3" t="s">
        <v>997</v>
      </c>
      <c r="E35" s="3" t="s">
        <v>998</v>
      </c>
      <c r="F35" s="3" t="s">
        <v>702</v>
      </c>
      <c r="G35" s="3" t="s">
        <v>971</v>
      </c>
      <c r="I35" s="3" t="s">
        <v>973</v>
      </c>
    </row>
    <row r="36" spans="1:10" x14ac:dyDescent="0.2">
      <c r="A36" s="3" t="s">
        <v>46</v>
      </c>
      <c r="B36" s="59" t="s">
        <v>20</v>
      </c>
      <c r="C36" s="3" t="s">
        <v>969</v>
      </c>
      <c r="D36" s="3" t="s">
        <v>970</v>
      </c>
      <c r="E36" s="3" t="s">
        <v>969</v>
      </c>
      <c r="F36" s="3" t="s">
        <v>1071</v>
      </c>
      <c r="G36" s="3" t="s">
        <v>971</v>
      </c>
      <c r="H36" s="3" t="s">
        <v>972</v>
      </c>
      <c r="I36" s="3" t="s">
        <v>973</v>
      </c>
      <c r="J36" s="13" t="s">
        <v>974</v>
      </c>
    </row>
    <row r="37" spans="1:10" x14ac:dyDescent="0.2">
      <c r="A37" s="3" t="s">
        <v>46</v>
      </c>
      <c r="B37" s="59" t="s">
        <v>20</v>
      </c>
      <c r="C37" s="3" t="s">
        <v>975</v>
      </c>
      <c r="D37" s="3" t="s">
        <v>976</v>
      </c>
      <c r="E37" s="3" t="s">
        <v>975</v>
      </c>
      <c r="F37" s="3" t="s">
        <v>977</v>
      </c>
      <c r="G37" s="3" t="s">
        <v>978</v>
      </c>
      <c r="H37" s="3" t="s">
        <v>972</v>
      </c>
      <c r="I37" s="3" t="s">
        <v>973</v>
      </c>
      <c r="J37" s="13" t="s">
        <v>974</v>
      </c>
    </row>
    <row r="38" spans="1:10" x14ac:dyDescent="0.2">
      <c r="A38" s="3" t="s">
        <v>46</v>
      </c>
      <c r="B38" s="59" t="s">
        <v>20</v>
      </c>
      <c r="C38" s="3" t="s">
        <v>975</v>
      </c>
      <c r="D38" s="3" t="s">
        <v>976</v>
      </c>
      <c r="E38" s="3" t="s">
        <v>975</v>
      </c>
      <c r="F38" s="3" t="s">
        <v>977</v>
      </c>
      <c r="G38" s="3" t="s">
        <v>979</v>
      </c>
      <c r="H38" s="3" t="s">
        <v>972</v>
      </c>
      <c r="I38" s="3" t="s">
        <v>973</v>
      </c>
      <c r="J38" s="13" t="s">
        <v>974</v>
      </c>
    </row>
    <row r="39" spans="1:10" x14ac:dyDescent="0.2">
      <c r="A39" s="3" t="s">
        <v>48</v>
      </c>
      <c r="B39" s="59" t="s">
        <v>45</v>
      </c>
      <c r="C39" s="3" t="s">
        <v>45</v>
      </c>
      <c r="D39" s="3" t="s">
        <v>997</v>
      </c>
      <c r="E39" s="3" t="s">
        <v>998</v>
      </c>
      <c r="F39" s="3" t="s">
        <v>702</v>
      </c>
      <c r="G39" s="3" t="s">
        <v>971</v>
      </c>
      <c r="I39" s="3" t="s">
        <v>973</v>
      </c>
    </row>
    <row r="40" spans="1:10" x14ac:dyDescent="0.2">
      <c r="A40" s="3" t="s">
        <v>48</v>
      </c>
      <c r="B40" s="59" t="s">
        <v>68</v>
      </c>
      <c r="C40" s="3" t="s">
        <v>68</v>
      </c>
      <c r="D40" s="3" t="s">
        <v>999</v>
      </c>
      <c r="E40" s="3" t="s">
        <v>975</v>
      </c>
      <c r="F40" s="3" t="s">
        <v>977</v>
      </c>
      <c r="G40" s="3" t="s">
        <v>986</v>
      </c>
      <c r="I40" s="3" t="s">
        <v>973</v>
      </c>
    </row>
    <row r="41" spans="1:10" x14ac:dyDescent="0.2">
      <c r="A41" s="3" t="s">
        <v>50</v>
      </c>
      <c r="B41" s="59" t="s">
        <v>52</v>
      </c>
      <c r="C41" s="3" t="s">
        <v>987</v>
      </c>
      <c r="D41" s="3" t="s">
        <v>988</v>
      </c>
      <c r="E41" s="3" t="s">
        <v>76</v>
      </c>
      <c r="F41" s="3" t="s">
        <v>989</v>
      </c>
      <c r="G41" s="3" t="s">
        <v>971</v>
      </c>
      <c r="H41" s="3" t="s">
        <v>972</v>
      </c>
      <c r="I41" s="3" t="s">
        <v>973</v>
      </c>
      <c r="J41" s="13" t="s">
        <v>974</v>
      </c>
    </row>
    <row r="42" spans="1:10" x14ac:dyDescent="0.2">
      <c r="A42" s="3" t="s">
        <v>50</v>
      </c>
      <c r="B42" s="59" t="s">
        <v>52</v>
      </c>
      <c r="C42" s="3" t="s">
        <v>990</v>
      </c>
      <c r="D42" s="3" t="s">
        <v>991</v>
      </c>
      <c r="E42" s="3" t="s">
        <v>76</v>
      </c>
      <c r="F42" s="3" t="s">
        <v>989</v>
      </c>
      <c r="G42" s="3" t="s">
        <v>971</v>
      </c>
      <c r="H42" s="3" t="s">
        <v>972</v>
      </c>
      <c r="I42" s="3" t="s">
        <v>973</v>
      </c>
      <c r="J42" s="13" t="s">
        <v>974</v>
      </c>
    </row>
    <row r="43" spans="1:10" x14ac:dyDescent="0.2">
      <c r="A43" s="3" t="s">
        <v>50</v>
      </c>
      <c r="B43" s="59" t="s">
        <v>52</v>
      </c>
      <c r="C43" s="3" t="s">
        <v>992</v>
      </c>
      <c r="D43" s="3" t="s">
        <v>993</v>
      </c>
      <c r="E43" s="3" t="s">
        <v>992</v>
      </c>
      <c r="F43" s="3" t="s">
        <v>994</v>
      </c>
      <c r="G43" s="3" t="s">
        <v>986</v>
      </c>
      <c r="H43" s="3" t="s">
        <v>972</v>
      </c>
      <c r="I43" s="3" t="s">
        <v>973</v>
      </c>
      <c r="J43" s="13" t="s">
        <v>974</v>
      </c>
    </row>
    <row r="44" spans="1:10" x14ac:dyDescent="0.2">
      <c r="A44" s="3" t="s">
        <v>50</v>
      </c>
      <c r="B44" s="59" t="s">
        <v>52</v>
      </c>
      <c r="C44" s="3" t="s">
        <v>992</v>
      </c>
      <c r="D44" s="3" t="s">
        <v>993</v>
      </c>
      <c r="E44" s="3" t="s">
        <v>992</v>
      </c>
      <c r="F44" s="3" t="s">
        <v>994</v>
      </c>
      <c r="G44" s="3" t="s">
        <v>995</v>
      </c>
      <c r="H44" s="3" t="s">
        <v>972</v>
      </c>
      <c r="I44" s="3" t="s">
        <v>973</v>
      </c>
      <c r="J44" s="13" t="s">
        <v>974</v>
      </c>
    </row>
    <row r="45" spans="1:10" x14ac:dyDescent="0.2">
      <c r="A45" s="3" t="s">
        <v>50</v>
      </c>
      <c r="B45" s="59" t="s">
        <v>52</v>
      </c>
      <c r="C45" s="3" t="s">
        <v>975</v>
      </c>
      <c r="D45" s="3" t="s">
        <v>976</v>
      </c>
      <c r="E45" s="3" t="s">
        <v>975</v>
      </c>
      <c r="F45" s="3" t="s">
        <v>994</v>
      </c>
      <c r="G45" s="3" t="s">
        <v>986</v>
      </c>
      <c r="H45" s="3" t="s">
        <v>972</v>
      </c>
      <c r="I45" s="3" t="s">
        <v>973</v>
      </c>
      <c r="J45" s="13" t="s">
        <v>974</v>
      </c>
    </row>
    <row r="46" spans="1:10" x14ac:dyDescent="0.2">
      <c r="A46" s="3" t="s">
        <v>50</v>
      </c>
      <c r="B46" s="59" t="s">
        <v>52</v>
      </c>
      <c r="C46" s="3" t="s">
        <v>975</v>
      </c>
      <c r="D46" s="3" t="s">
        <v>976</v>
      </c>
      <c r="E46" s="3" t="s">
        <v>975</v>
      </c>
      <c r="F46" s="3" t="s">
        <v>994</v>
      </c>
      <c r="G46" s="3" t="s">
        <v>995</v>
      </c>
      <c r="H46" s="3" t="s">
        <v>972</v>
      </c>
      <c r="I46" s="3" t="s">
        <v>973</v>
      </c>
      <c r="J46" s="13" t="s">
        <v>974</v>
      </c>
    </row>
    <row r="47" spans="1:10" x14ac:dyDescent="0.2">
      <c r="A47" s="3" t="s">
        <v>54</v>
      </c>
      <c r="B47" s="59" t="s">
        <v>20</v>
      </c>
      <c r="C47" s="3" t="s">
        <v>969</v>
      </c>
      <c r="D47" s="3" t="s">
        <v>970</v>
      </c>
      <c r="E47" s="3" t="s">
        <v>969</v>
      </c>
      <c r="F47" s="3" t="s">
        <v>1071</v>
      </c>
      <c r="G47" s="3" t="s">
        <v>971</v>
      </c>
      <c r="H47" s="3" t="s">
        <v>972</v>
      </c>
      <c r="I47" s="3" t="s">
        <v>973</v>
      </c>
      <c r="J47" s="13" t="s">
        <v>974</v>
      </c>
    </row>
    <row r="48" spans="1:10" x14ac:dyDescent="0.2">
      <c r="A48" s="3" t="s">
        <v>54</v>
      </c>
      <c r="B48" s="59" t="s">
        <v>20</v>
      </c>
      <c r="C48" s="3" t="s">
        <v>975</v>
      </c>
      <c r="D48" s="3" t="s">
        <v>976</v>
      </c>
      <c r="E48" s="3" t="s">
        <v>975</v>
      </c>
      <c r="F48" s="3" t="s">
        <v>977</v>
      </c>
      <c r="G48" s="3" t="s">
        <v>978</v>
      </c>
      <c r="H48" s="3" t="s">
        <v>972</v>
      </c>
      <c r="I48" s="3" t="s">
        <v>973</v>
      </c>
      <c r="J48" s="13" t="s">
        <v>974</v>
      </c>
    </row>
    <row r="49" spans="1:10" x14ac:dyDescent="0.2">
      <c r="A49" s="3" t="s">
        <v>54</v>
      </c>
      <c r="B49" s="59" t="s">
        <v>20</v>
      </c>
      <c r="C49" s="3" t="s">
        <v>975</v>
      </c>
      <c r="D49" s="3" t="s">
        <v>976</v>
      </c>
      <c r="E49" s="3" t="s">
        <v>975</v>
      </c>
      <c r="F49" s="3" t="s">
        <v>977</v>
      </c>
      <c r="G49" s="3" t="s">
        <v>979</v>
      </c>
      <c r="H49" s="3" t="s">
        <v>972</v>
      </c>
      <c r="I49" s="3" t="s">
        <v>973</v>
      </c>
      <c r="J49" s="13" t="s">
        <v>974</v>
      </c>
    </row>
    <row r="50" spans="1:10" x14ac:dyDescent="0.2">
      <c r="A50" s="3" t="s">
        <v>57</v>
      </c>
      <c r="B50" s="59" t="s">
        <v>59</v>
      </c>
      <c r="C50" s="3" t="s">
        <v>975</v>
      </c>
      <c r="D50" s="3" t="s">
        <v>976</v>
      </c>
      <c r="E50" s="3" t="s">
        <v>975</v>
      </c>
      <c r="F50" s="3" t="s">
        <v>977</v>
      </c>
      <c r="G50" s="3" t="s">
        <v>1000</v>
      </c>
      <c r="H50" s="3" t="s">
        <v>1001</v>
      </c>
      <c r="I50" s="3" t="s">
        <v>973</v>
      </c>
      <c r="J50" s="13" t="s">
        <v>974</v>
      </c>
    </row>
    <row r="51" spans="1:10" x14ac:dyDescent="0.2">
      <c r="A51" s="3" t="s">
        <v>61</v>
      </c>
      <c r="B51" s="59" t="s">
        <v>63</v>
      </c>
      <c r="C51" s="3" t="s">
        <v>208</v>
      </c>
      <c r="D51" s="3" t="s">
        <v>981</v>
      </c>
      <c r="E51" s="3" t="s">
        <v>1002</v>
      </c>
      <c r="F51" s="3" t="s">
        <v>1003</v>
      </c>
      <c r="G51" s="3" t="s">
        <v>995</v>
      </c>
      <c r="I51" s="3" t="s">
        <v>982</v>
      </c>
    </row>
    <row r="52" spans="1:10" x14ac:dyDescent="0.2">
      <c r="A52" s="3" t="s">
        <v>65</v>
      </c>
      <c r="B52" s="59" t="s">
        <v>68</v>
      </c>
      <c r="C52" s="3" t="s">
        <v>68</v>
      </c>
      <c r="D52" s="3" t="s">
        <v>997</v>
      </c>
      <c r="E52" s="3" t="s">
        <v>975</v>
      </c>
      <c r="F52" s="3" t="s">
        <v>977</v>
      </c>
      <c r="G52" s="3" t="s">
        <v>986</v>
      </c>
      <c r="I52" s="3" t="s">
        <v>973</v>
      </c>
    </row>
    <row r="53" spans="1:10" x14ac:dyDescent="0.2">
      <c r="A53" s="3" t="s">
        <v>70</v>
      </c>
      <c r="B53" s="59" t="s">
        <v>20</v>
      </c>
      <c r="C53" s="3" t="s">
        <v>969</v>
      </c>
      <c r="D53" s="3" t="s">
        <v>970</v>
      </c>
      <c r="E53" s="3" t="s">
        <v>969</v>
      </c>
      <c r="F53" s="3" t="s">
        <v>1071</v>
      </c>
      <c r="G53" s="3" t="s">
        <v>971</v>
      </c>
      <c r="H53" s="3" t="s">
        <v>972</v>
      </c>
      <c r="I53" s="3" t="s">
        <v>973</v>
      </c>
      <c r="J53" s="13" t="s">
        <v>974</v>
      </c>
    </row>
    <row r="54" spans="1:10" x14ac:dyDescent="0.2">
      <c r="A54" s="3" t="s">
        <v>70</v>
      </c>
      <c r="B54" s="59" t="s">
        <v>20</v>
      </c>
      <c r="C54" s="3" t="s">
        <v>975</v>
      </c>
      <c r="D54" s="3" t="s">
        <v>976</v>
      </c>
      <c r="E54" s="3" t="s">
        <v>975</v>
      </c>
      <c r="F54" s="3" t="s">
        <v>977</v>
      </c>
      <c r="G54" s="3" t="s">
        <v>978</v>
      </c>
      <c r="H54" s="3" t="s">
        <v>972</v>
      </c>
      <c r="I54" s="3" t="s">
        <v>973</v>
      </c>
      <c r="J54" s="13" t="s">
        <v>974</v>
      </c>
    </row>
    <row r="55" spans="1:10" x14ac:dyDescent="0.2">
      <c r="A55" s="3" t="s">
        <v>70</v>
      </c>
      <c r="B55" s="59" t="s">
        <v>20</v>
      </c>
      <c r="C55" s="3" t="s">
        <v>975</v>
      </c>
      <c r="D55" s="3" t="s">
        <v>976</v>
      </c>
      <c r="E55" s="3" t="s">
        <v>975</v>
      </c>
      <c r="F55" s="3" t="s">
        <v>977</v>
      </c>
      <c r="G55" s="3" t="s">
        <v>979</v>
      </c>
      <c r="H55" s="3" t="s">
        <v>972</v>
      </c>
      <c r="I55" s="3" t="s">
        <v>973</v>
      </c>
      <c r="J55" s="13" t="s">
        <v>974</v>
      </c>
    </row>
    <row r="56" spans="1:10" x14ac:dyDescent="0.2">
      <c r="A56" s="3" t="s">
        <v>74</v>
      </c>
      <c r="B56" s="59" t="s">
        <v>77</v>
      </c>
      <c r="C56" s="3" t="s">
        <v>208</v>
      </c>
      <c r="D56" s="3" t="s">
        <v>981</v>
      </c>
      <c r="E56" s="3" t="s">
        <v>1002</v>
      </c>
      <c r="F56" s="3" t="s">
        <v>1284</v>
      </c>
      <c r="G56" s="3" t="s">
        <v>995</v>
      </c>
      <c r="I56" s="3" t="s">
        <v>982</v>
      </c>
    </row>
    <row r="57" spans="1:10" x14ac:dyDescent="0.2">
      <c r="A57" s="3" t="s">
        <v>80</v>
      </c>
      <c r="B57" s="59" t="s">
        <v>68</v>
      </c>
      <c r="C57" s="3" t="s">
        <v>68</v>
      </c>
      <c r="D57" s="3" t="s">
        <v>997</v>
      </c>
      <c r="E57" s="3" t="s">
        <v>975</v>
      </c>
      <c r="F57" s="3" t="s">
        <v>977</v>
      </c>
      <c r="G57" s="3" t="s">
        <v>1004</v>
      </c>
      <c r="I57" s="3" t="s">
        <v>973</v>
      </c>
    </row>
    <row r="58" spans="1:10" x14ac:dyDescent="0.2">
      <c r="A58" s="3" t="s">
        <v>87</v>
      </c>
      <c r="B58" s="59" t="s">
        <v>20</v>
      </c>
      <c r="C58" s="3" t="s">
        <v>969</v>
      </c>
      <c r="D58" s="3" t="s">
        <v>970</v>
      </c>
      <c r="E58" s="3" t="s">
        <v>969</v>
      </c>
      <c r="F58" s="3" t="s">
        <v>1071</v>
      </c>
      <c r="G58" s="3" t="s">
        <v>971</v>
      </c>
      <c r="H58" s="3" t="s">
        <v>972</v>
      </c>
      <c r="I58" s="3" t="s">
        <v>973</v>
      </c>
      <c r="J58" s="13" t="s">
        <v>974</v>
      </c>
    </row>
    <row r="59" spans="1:10" x14ac:dyDescent="0.2">
      <c r="A59" s="3" t="s">
        <v>87</v>
      </c>
      <c r="B59" s="59" t="s">
        <v>20</v>
      </c>
      <c r="C59" s="3" t="s">
        <v>975</v>
      </c>
      <c r="D59" s="3" t="s">
        <v>976</v>
      </c>
      <c r="E59" s="3" t="s">
        <v>975</v>
      </c>
      <c r="F59" s="3" t="s">
        <v>977</v>
      </c>
      <c r="G59" s="3" t="s">
        <v>978</v>
      </c>
      <c r="H59" s="3" t="s">
        <v>972</v>
      </c>
      <c r="I59" s="3" t="s">
        <v>973</v>
      </c>
      <c r="J59" s="13" t="s">
        <v>974</v>
      </c>
    </row>
    <row r="60" spans="1:10" x14ac:dyDescent="0.2">
      <c r="A60" s="3" t="s">
        <v>87</v>
      </c>
      <c r="B60" s="59" t="s">
        <v>20</v>
      </c>
      <c r="C60" s="3" t="s">
        <v>975</v>
      </c>
      <c r="D60" s="3" t="s">
        <v>976</v>
      </c>
      <c r="E60" s="3" t="s">
        <v>975</v>
      </c>
      <c r="F60" s="3" t="s">
        <v>977</v>
      </c>
      <c r="G60" s="3" t="s">
        <v>979</v>
      </c>
      <c r="H60" s="3" t="s">
        <v>972</v>
      </c>
      <c r="I60" s="3" t="s">
        <v>973</v>
      </c>
      <c r="J60" s="13" t="s">
        <v>974</v>
      </c>
    </row>
    <row r="61" spans="1:10" x14ac:dyDescent="0.2">
      <c r="A61" s="3" t="s">
        <v>84</v>
      </c>
      <c r="B61" s="59" t="s">
        <v>86</v>
      </c>
      <c r="C61" s="3" t="s">
        <v>208</v>
      </c>
      <c r="D61" s="3" t="s">
        <v>981</v>
      </c>
      <c r="E61" s="3" t="s">
        <v>1002</v>
      </c>
      <c r="F61" s="3" t="s">
        <v>1003</v>
      </c>
      <c r="G61" s="3" t="s">
        <v>995</v>
      </c>
      <c r="I61" s="3" t="s">
        <v>973</v>
      </c>
    </row>
    <row r="62" spans="1:10" x14ac:dyDescent="0.2">
      <c r="A62" s="3" t="s">
        <v>89</v>
      </c>
      <c r="B62" s="59" t="s">
        <v>59</v>
      </c>
      <c r="C62" s="3" t="s">
        <v>975</v>
      </c>
      <c r="D62" s="3" t="s">
        <v>976</v>
      </c>
      <c r="E62" s="3" t="s">
        <v>975</v>
      </c>
      <c r="F62" s="3" t="s">
        <v>977</v>
      </c>
      <c r="G62" s="3" t="s">
        <v>1000</v>
      </c>
      <c r="H62" s="3" t="s">
        <v>1005</v>
      </c>
      <c r="I62" s="3" t="s">
        <v>973</v>
      </c>
      <c r="J62" s="13" t="s">
        <v>974</v>
      </c>
    </row>
    <row r="63" spans="1:10" x14ac:dyDescent="0.2">
      <c r="A63" s="3" t="s">
        <v>92</v>
      </c>
      <c r="B63" s="59" t="s">
        <v>52</v>
      </c>
      <c r="C63" s="3" t="s">
        <v>990</v>
      </c>
      <c r="D63" s="3" t="s">
        <v>991</v>
      </c>
      <c r="E63" s="3" t="s">
        <v>76</v>
      </c>
      <c r="F63" s="3" t="s">
        <v>989</v>
      </c>
      <c r="G63" s="3" t="s">
        <v>971</v>
      </c>
      <c r="H63" s="3" t="s">
        <v>972</v>
      </c>
      <c r="I63" s="3" t="s">
        <v>973</v>
      </c>
      <c r="J63" s="13" t="s">
        <v>974</v>
      </c>
    </row>
    <row r="64" spans="1:10" x14ac:dyDescent="0.2">
      <c r="A64" s="3" t="s">
        <v>92</v>
      </c>
      <c r="B64" s="59" t="s">
        <v>52</v>
      </c>
      <c r="C64" s="3" t="s">
        <v>987</v>
      </c>
      <c r="D64" s="3" t="s">
        <v>988</v>
      </c>
      <c r="E64" s="3" t="s">
        <v>76</v>
      </c>
      <c r="F64" s="3" t="s">
        <v>989</v>
      </c>
      <c r="G64" s="3" t="s">
        <v>971</v>
      </c>
      <c r="H64" s="3" t="s">
        <v>1319</v>
      </c>
      <c r="I64" s="3" t="s">
        <v>973</v>
      </c>
      <c r="J64" s="13" t="s">
        <v>974</v>
      </c>
    </row>
    <row r="65" spans="1:10" x14ac:dyDescent="0.2">
      <c r="A65" s="3" t="s">
        <v>92</v>
      </c>
      <c r="B65" s="59" t="s">
        <v>52</v>
      </c>
      <c r="C65" s="3" t="s">
        <v>992</v>
      </c>
      <c r="D65" s="3" t="s">
        <v>993</v>
      </c>
      <c r="E65" s="3" t="s">
        <v>992</v>
      </c>
      <c r="F65" s="3" t="s">
        <v>994</v>
      </c>
      <c r="G65" s="3" t="s">
        <v>986</v>
      </c>
      <c r="H65" s="3" t="s">
        <v>972</v>
      </c>
      <c r="I65" s="3" t="s">
        <v>973</v>
      </c>
      <c r="J65" s="13" t="s">
        <v>974</v>
      </c>
    </row>
    <row r="66" spans="1:10" x14ac:dyDescent="0.2">
      <c r="A66" s="3" t="s">
        <v>92</v>
      </c>
      <c r="B66" s="59" t="s">
        <v>52</v>
      </c>
      <c r="C66" s="3" t="s">
        <v>992</v>
      </c>
      <c r="D66" s="3" t="s">
        <v>993</v>
      </c>
      <c r="E66" s="3" t="s">
        <v>992</v>
      </c>
      <c r="F66" s="3" t="s">
        <v>994</v>
      </c>
      <c r="G66" s="3" t="s">
        <v>995</v>
      </c>
      <c r="H66" s="3" t="s">
        <v>972</v>
      </c>
      <c r="I66" s="3" t="s">
        <v>973</v>
      </c>
      <c r="J66" s="13" t="s">
        <v>974</v>
      </c>
    </row>
    <row r="67" spans="1:10" x14ac:dyDescent="0.2">
      <c r="A67" s="3" t="s">
        <v>92</v>
      </c>
      <c r="B67" s="59" t="s">
        <v>52</v>
      </c>
      <c r="C67" s="3" t="s">
        <v>975</v>
      </c>
      <c r="D67" s="3" t="s">
        <v>976</v>
      </c>
      <c r="E67" s="3" t="s">
        <v>975</v>
      </c>
      <c r="F67" s="3" t="s">
        <v>994</v>
      </c>
      <c r="G67" s="3" t="s">
        <v>986</v>
      </c>
      <c r="H67" s="3" t="s">
        <v>972</v>
      </c>
      <c r="I67" s="3" t="s">
        <v>973</v>
      </c>
      <c r="J67" s="13" t="s">
        <v>974</v>
      </c>
    </row>
    <row r="68" spans="1:10" x14ac:dyDescent="0.2">
      <c r="A68" s="3" t="s">
        <v>92</v>
      </c>
      <c r="B68" s="59" t="s">
        <v>52</v>
      </c>
      <c r="C68" s="3" t="s">
        <v>975</v>
      </c>
      <c r="D68" s="3" t="s">
        <v>976</v>
      </c>
      <c r="E68" s="3" t="s">
        <v>975</v>
      </c>
      <c r="F68" s="3" t="s">
        <v>994</v>
      </c>
      <c r="G68" s="3" t="s">
        <v>995</v>
      </c>
      <c r="H68" s="3" t="s">
        <v>972</v>
      </c>
      <c r="I68" s="3" t="s">
        <v>973</v>
      </c>
      <c r="J68" s="13" t="s">
        <v>974</v>
      </c>
    </row>
    <row r="69" spans="1:10" x14ac:dyDescent="0.2">
      <c r="A69" s="3" t="s">
        <v>95</v>
      </c>
      <c r="B69" s="59" t="s">
        <v>59</v>
      </c>
      <c r="C69" s="3" t="s">
        <v>975</v>
      </c>
      <c r="D69" s="3" t="s">
        <v>976</v>
      </c>
      <c r="E69" s="3" t="s">
        <v>975</v>
      </c>
      <c r="F69" s="3" t="s">
        <v>977</v>
      </c>
      <c r="G69" s="3" t="s">
        <v>1000</v>
      </c>
      <c r="H69" s="3" t="s">
        <v>1001</v>
      </c>
      <c r="I69" s="3" t="s">
        <v>973</v>
      </c>
      <c r="J69" s="13" t="s">
        <v>974</v>
      </c>
    </row>
    <row r="70" spans="1:10" x14ac:dyDescent="0.2">
      <c r="A70" s="3" t="s">
        <v>97</v>
      </c>
      <c r="B70" s="59" t="s">
        <v>59</v>
      </c>
      <c r="C70" s="3" t="s">
        <v>975</v>
      </c>
      <c r="D70" s="3" t="s">
        <v>976</v>
      </c>
      <c r="E70" s="3" t="s">
        <v>975</v>
      </c>
      <c r="F70" s="3" t="s">
        <v>977</v>
      </c>
      <c r="G70" s="3" t="s">
        <v>1000</v>
      </c>
      <c r="H70" s="3" t="s">
        <v>1001</v>
      </c>
      <c r="I70" s="3" t="s">
        <v>973</v>
      </c>
      <c r="J70" s="13" t="s">
        <v>974</v>
      </c>
    </row>
    <row r="71" spans="1:10" x14ac:dyDescent="0.2">
      <c r="A71" s="3" t="s">
        <v>99</v>
      </c>
      <c r="B71" s="59" t="s">
        <v>20</v>
      </c>
      <c r="C71" s="3" t="s">
        <v>969</v>
      </c>
      <c r="D71" s="3" t="s">
        <v>970</v>
      </c>
      <c r="E71" s="3" t="s">
        <v>969</v>
      </c>
      <c r="F71" s="3" t="s">
        <v>1071</v>
      </c>
      <c r="G71" s="3" t="s">
        <v>971</v>
      </c>
      <c r="H71" s="3" t="s">
        <v>972</v>
      </c>
      <c r="I71" s="3" t="s">
        <v>973</v>
      </c>
      <c r="J71" s="13" t="s">
        <v>974</v>
      </c>
    </row>
    <row r="72" spans="1:10" x14ac:dyDescent="0.2">
      <c r="A72" s="3" t="s">
        <v>99</v>
      </c>
      <c r="B72" s="59" t="s">
        <v>20</v>
      </c>
      <c r="C72" s="3" t="s">
        <v>975</v>
      </c>
      <c r="D72" s="3" t="s">
        <v>976</v>
      </c>
      <c r="E72" s="3" t="s">
        <v>975</v>
      </c>
      <c r="F72" s="3" t="s">
        <v>977</v>
      </c>
      <c r="G72" s="3" t="s">
        <v>978</v>
      </c>
      <c r="H72" s="3" t="s">
        <v>972</v>
      </c>
      <c r="I72" s="3" t="s">
        <v>973</v>
      </c>
      <c r="J72" s="13" t="s">
        <v>974</v>
      </c>
    </row>
    <row r="73" spans="1:10" x14ac:dyDescent="0.2">
      <c r="A73" s="3" t="s">
        <v>99</v>
      </c>
      <c r="B73" s="59" t="s">
        <v>20</v>
      </c>
      <c r="C73" s="3" t="s">
        <v>975</v>
      </c>
      <c r="D73" s="3" t="s">
        <v>976</v>
      </c>
      <c r="E73" s="3" t="s">
        <v>975</v>
      </c>
      <c r="F73" s="3" t="s">
        <v>977</v>
      </c>
      <c r="G73" s="3" t="s">
        <v>979</v>
      </c>
      <c r="H73" s="3" t="s">
        <v>972</v>
      </c>
      <c r="I73" s="3" t="s">
        <v>973</v>
      </c>
      <c r="J73" s="13" t="s">
        <v>974</v>
      </c>
    </row>
    <row r="74" spans="1:10" x14ac:dyDescent="0.2">
      <c r="A74" s="3" t="s">
        <v>102</v>
      </c>
      <c r="B74" s="59" t="s">
        <v>59</v>
      </c>
      <c r="C74" s="3" t="s">
        <v>975</v>
      </c>
      <c r="D74" s="3" t="s">
        <v>976</v>
      </c>
      <c r="E74" s="3" t="s">
        <v>975</v>
      </c>
      <c r="F74" s="3" t="s">
        <v>977</v>
      </c>
      <c r="G74" s="3" t="s">
        <v>1000</v>
      </c>
      <c r="H74" s="3" t="s">
        <v>1001</v>
      </c>
      <c r="I74" s="3" t="s">
        <v>973</v>
      </c>
      <c r="J74" s="13" t="s">
        <v>974</v>
      </c>
    </row>
    <row r="75" spans="1:10" x14ac:dyDescent="0.2">
      <c r="A75" s="3" t="s">
        <v>104</v>
      </c>
      <c r="B75" s="59" t="s">
        <v>63</v>
      </c>
      <c r="C75" s="3" t="s">
        <v>208</v>
      </c>
      <c r="D75" s="3" t="s">
        <v>981</v>
      </c>
      <c r="E75" s="3" t="s">
        <v>1320</v>
      </c>
      <c r="F75" s="3" t="s">
        <v>1321</v>
      </c>
      <c r="G75" s="3" t="s">
        <v>971</v>
      </c>
      <c r="I75" s="3" t="s">
        <v>982</v>
      </c>
    </row>
    <row r="76" spans="1:10" x14ac:dyDescent="0.2">
      <c r="A76" s="3" t="s">
        <v>107</v>
      </c>
      <c r="B76" s="59" t="s">
        <v>59</v>
      </c>
      <c r="C76" s="3" t="s">
        <v>975</v>
      </c>
      <c r="D76" s="3" t="s">
        <v>976</v>
      </c>
      <c r="E76" s="3" t="s">
        <v>975</v>
      </c>
      <c r="F76" s="3" t="s">
        <v>977</v>
      </c>
      <c r="G76" s="3" t="s">
        <v>1000</v>
      </c>
      <c r="H76" s="3" t="s">
        <v>1005</v>
      </c>
      <c r="I76" s="3" t="s">
        <v>973</v>
      </c>
      <c r="J76" s="13" t="s">
        <v>974</v>
      </c>
    </row>
    <row r="77" spans="1:10" x14ac:dyDescent="0.2">
      <c r="A77" s="3" t="s">
        <v>107</v>
      </c>
      <c r="B77" s="59" t="s">
        <v>59</v>
      </c>
      <c r="C77" s="3" t="s">
        <v>975</v>
      </c>
      <c r="D77" s="3" t="s">
        <v>976</v>
      </c>
      <c r="E77" s="3" t="s">
        <v>975</v>
      </c>
      <c r="F77" s="3" t="s">
        <v>977</v>
      </c>
      <c r="G77" s="3" t="s">
        <v>1000</v>
      </c>
      <c r="H77" s="3" t="s">
        <v>1005</v>
      </c>
      <c r="I77" s="3" t="s">
        <v>973</v>
      </c>
      <c r="J77" s="13" t="s">
        <v>974</v>
      </c>
    </row>
    <row r="78" spans="1:10" x14ac:dyDescent="0.2">
      <c r="A78" s="3" t="s">
        <v>111</v>
      </c>
      <c r="B78" s="59" t="s">
        <v>20</v>
      </c>
      <c r="C78" s="3" t="s">
        <v>969</v>
      </c>
      <c r="D78" s="3" t="s">
        <v>970</v>
      </c>
      <c r="E78" s="3" t="s">
        <v>969</v>
      </c>
      <c r="F78" s="3" t="s">
        <v>1071</v>
      </c>
      <c r="G78" s="3" t="s">
        <v>971</v>
      </c>
      <c r="H78" s="3" t="s">
        <v>972</v>
      </c>
      <c r="I78" s="3" t="s">
        <v>973</v>
      </c>
      <c r="J78" s="13" t="s">
        <v>974</v>
      </c>
    </row>
    <row r="79" spans="1:10" x14ac:dyDescent="0.2">
      <c r="A79" s="3" t="s">
        <v>111</v>
      </c>
      <c r="B79" s="59" t="s">
        <v>20</v>
      </c>
      <c r="C79" s="3" t="s">
        <v>975</v>
      </c>
      <c r="D79" s="3" t="s">
        <v>976</v>
      </c>
      <c r="E79" s="3" t="s">
        <v>975</v>
      </c>
      <c r="F79" s="3" t="s">
        <v>977</v>
      </c>
      <c r="G79" s="3" t="s">
        <v>1000</v>
      </c>
      <c r="H79" s="3" t="s">
        <v>972</v>
      </c>
      <c r="I79" s="3" t="s">
        <v>973</v>
      </c>
      <c r="J79" s="13" t="s">
        <v>974</v>
      </c>
    </row>
    <row r="80" spans="1:10" x14ac:dyDescent="0.2">
      <c r="A80" s="3" t="s">
        <v>115</v>
      </c>
      <c r="B80" s="59" t="s">
        <v>252</v>
      </c>
      <c r="C80" s="3" t="s">
        <v>1006</v>
      </c>
      <c r="D80" s="3" t="s">
        <v>1007</v>
      </c>
      <c r="E80" s="3" t="s">
        <v>975</v>
      </c>
      <c r="F80" s="3" t="s">
        <v>977</v>
      </c>
      <c r="G80" s="3" t="s">
        <v>986</v>
      </c>
      <c r="I80" s="3" t="s">
        <v>982</v>
      </c>
    </row>
    <row r="81" spans="1:10" x14ac:dyDescent="0.2">
      <c r="A81" s="3" t="s">
        <v>118</v>
      </c>
      <c r="B81" s="59" t="s">
        <v>121</v>
      </c>
      <c r="C81" s="3" t="s">
        <v>121</v>
      </c>
      <c r="D81" s="3" t="s">
        <v>1008</v>
      </c>
      <c r="E81" s="3" t="s">
        <v>1320</v>
      </c>
      <c r="F81" s="3" t="s">
        <v>1321</v>
      </c>
      <c r="G81" s="3" t="s">
        <v>971</v>
      </c>
      <c r="I81" s="3" t="s">
        <v>982</v>
      </c>
    </row>
    <row r="83" spans="1:10" x14ac:dyDescent="0.2">
      <c r="A83" s="14" t="s">
        <v>123</v>
      </c>
    </row>
    <row r="84" spans="1:10" x14ac:dyDescent="0.2">
      <c r="A84" s="3" t="s">
        <v>124</v>
      </c>
      <c r="B84" s="59" t="s">
        <v>77</v>
      </c>
      <c r="C84" s="3" t="s">
        <v>208</v>
      </c>
      <c r="D84" s="3" t="s">
        <v>981</v>
      </c>
      <c r="E84" s="3" t="s">
        <v>975</v>
      </c>
      <c r="F84" s="3" t="s">
        <v>977</v>
      </c>
      <c r="G84" s="3" t="s">
        <v>971</v>
      </c>
      <c r="I84" s="3" t="s">
        <v>973</v>
      </c>
    </row>
    <row r="85" spans="1:10" x14ac:dyDescent="0.2">
      <c r="A85" s="3" t="s">
        <v>124</v>
      </c>
      <c r="B85" s="59" t="s">
        <v>77</v>
      </c>
      <c r="C85" s="3" t="s">
        <v>208</v>
      </c>
      <c r="D85" s="3" t="s">
        <v>981</v>
      </c>
      <c r="E85" s="3" t="s">
        <v>975</v>
      </c>
      <c r="F85" s="3" t="s">
        <v>977</v>
      </c>
      <c r="G85" s="3" t="s">
        <v>971</v>
      </c>
      <c r="I85" s="3" t="s">
        <v>973</v>
      </c>
    </row>
    <row r="86" spans="1:10" x14ac:dyDescent="0.2">
      <c r="A86" s="3" t="s">
        <v>124</v>
      </c>
      <c r="B86" s="59" t="s">
        <v>77</v>
      </c>
      <c r="C86" s="3" t="s">
        <v>208</v>
      </c>
      <c r="D86" s="3" t="s">
        <v>981</v>
      </c>
      <c r="E86" s="3" t="s">
        <v>975</v>
      </c>
      <c r="F86" s="3" t="s">
        <v>977</v>
      </c>
      <c r="G86" s="3" t="s">
        <v>971</v>
      </c>
      <c r="I86" s="3" t="s">
        <v>973</v>
      </c>
    </row>
    <row r="87" spans="1:10" x14ac:dyDescent="0.2">
      <c r="A87" s="3" t="s">
        <v>124</v>
      </c>
      <c r="B87" s="59" t="s">
        <v>77</v>
      </c>
      <c r="C87" s="3" t="s">
        <v>208</v>
      </c>
      <c r="D87" s="3" t="s">
        <v>981</v>
      </c>
      <c r="E87" s="3" t="s">
        <v>975</v>
      </c>
      <c r="F87" s="3" t="s">
        <v>977</v>
      </c>
      <c r="G87" s="3" t="s">
        <v>971</v>
      </c>
      <c r="I87" s="3" t="s">
        <v>973</v>
      </c>
    </row>
    <row r="88" spans="1:10" x14ac:dyDescent="0.2">
      <c r="A88" s="3" t="s">
        <v>124</v>
      </c>
      <c r="B88" s="59" t="s">
        <v>1009</v>
      </c>
      <c r="C88" s="3" t="s">
        <v>1010</v>
      </c>
      <c r="D88" s="3" t="s">
        <v>997</v>
      </c>
      <c r="E88" s="3" t="s">
        <v>975</v>
      </c>
      <c r="F88" s="3" t="s">
        <v>977</v>
      </c>
      <c r="G88" s="3" t="s">
        <v>986</v>
      </c>
      <c r="I88" s="3" t="s">
        <v>973</v>
      </c>
    </row>
    <row r="89" spans="1:10" x14ac:dyDescent="0.2">
      <c r="A89" s="3" t="s">
        <v>1305</v>
      </c>
      <c r="B89" s="59" t="s">
        <v>20</v>
      </c>
      <c r="C89" s="3" t="s">
        <v>1011</v>
      </c>
      <c r="D89" s="3" t="s">
        <v>1012</v>
      </c>
      <c r="E89" s="3" t="s">
        <v>1013</v>
      </c>
      <c r="F89" s="3" t="s">
        <v>1014</v>
      </c>
      <c r="G89" s="3" t="s">
        <v>1015</v>
      </c>
      <c r="H89" s="3" t="s">
        <v>972</v>
      </c>
      <c r="I89" s="3" t="s">
        <v>973</v>
      </c>
      <c r="J89" s="13" t="s">
        <v>974</v>
      </c>
    </row>
    <row r="90" spans="1:10" x14ac:dyDescent="0.2">
      <c r="A90" s="3" t="s">
        <v>1305</v>
      </c>
      <c r="B90" s="59" t="s">
        <v>20</v>
      </c>
      <c r="C90" s="3" t="s">
        <v>1016</v>
      </c>
      <c r="D90" s="3" t="s">
        <v>1012</v>
      </c>
      <c r="E90" s="3" t="s">
        <v>1013</v>
      </c>
      <c r="F90" s="3" t="s">
        <v>1014</v>
      </c>
      <c r="G90" s="3" t="s">
        <v>1015</v>
      </c>
      <c r="H90" s="3" t="s">
        <v>972</v>
      </c>
      <c r="I90" s="3" t="s">
        <v>973</v>
      </c>
      <c r="J90" s="13" t="s">
        <v>974</v>
      </c>
    </row>
    <row r="91" spans="1:10" x14ac:dyDescent="0.2">
      <c r="A91" s="3" t="s">
        <v>1305</v>
      </c>
      <c r="B91" s="59" t="s">
        <v>20</v>
      </c>
      <c r="C91" s="3" t="s">
        <v>1017</v>
      </c>
      <c r="D91" s="3" t="s">
        <v>1012</v>
      </c>
      <c r="E91" s="3" t="s">
        <v>1013</v>
      </c>
      <c r="F91" s="3" t="s">
        <v>1014</v>
      </c>
      <c r="G91" s="3" t="s">
        <v>1015</v>
      </c>
      <c r="H91" s="3" t="s">
        <v>972</v>
      </c>
      <c r="I91" s="3" t="s">
        <v>973</v>
      </c>
      <c r="J91" s="13" t="s">
        <v>974</v>
      </c>
    </row>
    <row r="92" spans="1:10" x14ac:dyDescent="0.2">
      <c r="A92" s="3" t="s">
        <v>1305</v>
      </c>
      <c r="B92" s="59" t="s">
        <v>20</v>
      </c>
      <c r="C92" s="3" t="s">
        <v>975</v>
      </c>
      <c r="D92" s="3" t="s">
        <v>976</v>
      </c>
      <c r="E92" s="3" t="s">
        <v>975</v>
      </c>
      <c r="F92" s="3" t="s">
        <v>977</v>
      </c>
      <c r="G92" s="3" t="s">
        <v>1000</v>
      </c>
      <c r="H92" s="3" t="s">
        <v>972</v>
      </c>
      <c r="I92" s="3" t="s">
        <v>973</v>
      </c>
      <c r="J92" s="13" t="s">
        <v>974</v>
      </c>
    </row>
    <row r="93" spans="1:10" x14ac:dyDescent="0.2">
      <c r="A93" s="3" t="s">
        <v>1305</v>
      </c>
      <c r="B93" s="59" t="s">
        <v>20</v>
      </c>
      <c r="C93" s="3" t="s">
        <v>1018</v>
      </c>
      <c r="D93" s="3" t="s">
        <v>976</v>
      </c>
      <c r="E93" s="3" t="s">
        <v>975</v>
      </c>
      <c r="F93" s="3" t="s">
        <v>977</v>
      </c>
      <c r="G93" s="3" t="s">
        <v>1000</v>
      </c>
      <c r="H93" s="3" t="s">
        <v>972</v>
      </c>
      <c r="I93" s="3" t="s">
        <v>973</v>
      </c>
      <c r="J93" s="13" t="s">
        <v>974</v>
      </c>
    </row>
    <row r="94" spans="1:10" x14ac:dyDescent="0.2">
      <c r="A94" s="3" t="s">
        <v>1305</v>
      </c>
      <c r="B94" s="59" t="s">
        <v>20</v>
      </c>
      <c r="C94" s="3" t="s">
        <v>1019</v>
      </c>
      <c r="D94" s="3" t="s">
        <v>976</v>
      </c>
      <c r="E94" s="3" t="s">
        <v>975</v>
      </c>
      <c r="F94" s="3" t="s">
        <v>977</v>
      </c>
      <c r="G94" s="3" t="s">
        <v>1000</v>
      </c>
      <c r="H94" s="3" t="s">
        <v>972</v>
      </c>
      <c r="I94" s="3" t="s">
        <v>973</v>
      </c>
      <c r="J94" s="13" t="s">
        <v>974</v>
      </c>
    </row>
    <row r="95" spans="1:10" x14ac:dyDescent="0.2">
      <c r="A95" s="3" t="s">
        <v>129</v>
      </c>
      <c r="B95" s="59" t="s">
        <v>132</v>
      </c>
      <c r="C95" s="3" t="s">
        <v>1020</v>
      </c>
      <c r="D95" s="3" t="s">
        <v>1051</v>
      </c>
      <c r="E95" s="3" t="s">
        <v>76</v>
      </c>
      <c r="F95" s="3" t="s">
        <v>989</v>
      </c>
      <c r="G95" s="3" t="s">
        <v>1021</v>
      </c>
      <c r="I95" s="3" t="s">
        <v>973</v>
      </c>
    </row>
    <row r="96" spans="1:10" x14ac:dyDescent="0.2">
      <c r="A96" s="3" t="s">
        <v>134</v>
      </c>
      <c r="B96" s="59" t="s">
        <v>45</v>
      </c>
      <c r="C96" s="3" t="s">
        <v>45</v>
      </c>
      <c r="D96" s="3" t="s">
        <v>997</v>
      </c>
      <c r="E96" s="3" t="s">
        <v>975</v>
      </c>
      <c r="F96" s="3" t="s">
        <v>977</v>
      </c>
      <c r="G96" s="3" t="s">
        <v>986</v>
      </c>
      <c r="I96" s="3" t="s">
        <v>973</v>
      </c>
    </row>
    <row r="97" spans="1:10" x14ac:dyDescent="0.2">
      <c r="A97" s="3" t="s">
        <v>134</v>
      </c>
      <c r="B97" s="59" t="s">
        <v>68</v>
      </c>
      <c r="C97" s="3" t="s">
        <v>68</v>
      </c>
      <c r="D97" s="3" t="s">
        <v>997</v>
      </c>
      <c r="E97" s="3" t="s">
        <v>975</v>
      </c>
      <c r="F97" s="3" t="s">
        <v>977</v>
      </c>
      <c r="G97" s="3" t="s">
        <v>986</v>
      </c>
      <c r="I97" s="3" t="s">
        <v>973</v>
      </c>
    </row>
    <row r="98" spans="1:10" x14ac:dyDescent="0.2">
      <c r="A98" s="3" t="s">
        <v>137</v>
      </c>
      <c r="B98" s="59" t="s">
        <v>139</v>
      </c>
      <c r="C98" s="3" t="s">
        <v>139</v>
      </c>
      <c r="D98" s="3" t="s">
        <v>1022</v>
      </c>
      <c r="E98" s="3" t="s">
        <v>702</v>
      </c>
      <c r="F98" s="3" t="s">
        <v>1023</v>
      </c>
      <c r="G98" s="3" t="s">
        <v>971</v>
      </c>
      <c r="H98" s="3" t="s">
        <v>1024</v>
      </c>
      <c r="I98" s="3" t="s">
        <v>973</v>
      </c>
    </row>
    <row r="99" spans="1:10" x14ac:dyDescent="0.2">
      <c r="A99" s="3" t="s">
        <v>141</v>
      </c>
      <c r="B99" s="59" t="s">
        <v>144</v>
      </c>
      <c r="C99" s="3" t="s">
        <v>1025</v>
      </c>
      <c r="D99" s="3" t="s">
        <v>1026</v>
      </c>
      <c r="E99" s="3" t="s">
        <v>975</v>
      </c>
      <c r="F99" s="3" t="s">
        <v>985</v>
      </c>
      <c r="G99" s="3" t="s">
        <v>986</v>
      </c>
      <c r="I99" s="3" t="s">
        <v>973</v>
      </c>
    </row>
    <row r="100" spans="1:10" x14ac:dyDescent="0.2">
      <c r="A100" s="3" t="s">
        <v>145</v>
      </c>
      <c r="B100" s="59" t="s">
        <v>77</v>
      </c>
      <c r="C100" s="3" t="s">
        <v>208</v>
      </c>
      <c r="D100" s="3" t="s">
        <v>1763</v>
      </c>
      <c r="E100" s="3" t="s">
        <v>975</v>
      </c>
      <c r="F100" s="3" t="s">
        <v>977</v>
      </c>
      <c r="G100" s="3" t="s">
        <v>971</v>
      </c>
      <c r="I100" s="3" t="s">
        <v>973</v>
      </c>
    </row>
    <row r="101" spans="1:10" x14ac:dyDescent="0.2">
      <c r="A101" s="3" t="s">
        <v>147</v>
      </c>
      <c r="B101" s="59" t="s">
        <v>217</v>
      </c>
      <c r="C101" s="3" t="s">
        <v>1027</v>
      </c>
      <c r="D101" s="3" t="s">
        <v>997</v>
      </c>
      <c r="E101" s="3" t="s">
        <v>76</v>
      </c>
      <c r="F101" s="3" t="s">
        <v>989</v>
      </c>
      <c r="G101" s="3" t="s">
        <v>971</v>
      </c>
      <c r="H101" s="3" t="s">
        <v>972</v>
      </c>
      <c r="I101" s="3" t="s">
        <v>973</v>
      </c>
    </row>
    <row r="102" spans="1:10" x14ac:dyDescent="0.2">
      <c r="A102" s="3" t="s">
        <v>151</v>
      </c>
      <c r="B102" s="59" t="s">
        <v>77</v>
      </c>
      <c r="C102" s="3" t="s">
        <v>208</v>
      </c>
      <c r="D102" s="3" t="s">
        <v>1763</v>
      </c>
      <c r="E102" s="3" t="s">
        <v>975</v>
      </c>
      <c r="F102" s="3" t="s">
        <v>977</v>
      </c>
      <c r="G102" s="3" t="s">
        <v>971</v>
      </c>
      <c r="I102" s="3" t="s">
        <v>973</v>
      </c>
    </row>
    <row r="103" spans="1:10" x14ac:dyDescent="0.2">
      <c r="A103" s="3" t="s">
        <v>155</v>
      </c>
      <c r="B103" s="59" t="s">
        <v>77</v>
      </c>
      <c r="C103" s="3" t="s">
        <v>208</v>
      </c>
      <c r="D103" s="3" t="s">
        <v>1763</v>
      </c>
      <c r="E103" s="3" t="s">
        <v>975</v>
      </c>
      <c r="F103" s="3" t="s">
        <v>977</v>
      </c>
      <c r="G103" s="3" t="s">
        <v>971</v>
      </c>
      <c r="I103" s="3" t="s">
        <v>973</v>
      </c>
    </row>
    <row r="104" spans="1:10" x14ac:dyDescent="0.2">
      <c r="A104" s="3" t="s">
        <v>158</v>
      </c>
      <c r="B104" s="59" t="s">
        <v>161</v>
      </c>
      <c r="C104" s="3" t="s">
        <v>161</v>
      </c>
      <c r="D104" s="3" t="s">
        <v>981</v>
      </c>
      <c r="E104" s="3" t="s">
        <v>1320</v>
      </c>
      <c r="F104" s="3" t="s">
        <v>1321</v>
      </c>
      <c r="G104" s="3" t="s">
        <v>971</v>
      </c>
      <c r="I104" s="3" t="s">
        <v>973</v>
      </c>
    </row>
    <row r="105" spans="1:10" x14ac:dyDescent="0.2">
      <c r="A105" s="3" t="s">
        <v>163</v>
      </c>
      <c r="B105" s="59" t="s">
        <v>77</v>
      </c>
      <c r="C105" s="3" t="s">
        <v>208</v>
      </c>
      <c r="D105" s="3" t="s">
        <v>1763</v>
      </c>
      <c r="E105" s="3" t="s">
        <v>975</v>
      </c>
      <c r="F105" s="3" t="s">
        <v>977</v>
      </c>
      <c r="G105" s="3" t="s">
        <v>971</v>
      </c>
      <c r="I105" s="3" t="s">
        <v>973</v>
      </c>
    </row>
    <row r="106" spans="1:10" x14ac:dyDescent="0.2">
      <c r="A106" s="3" t="s">
        <v>163</v>
      </c>
      <c r="B106" s="59" t="s">
        <v>77</v>
      </c>
      <c r="C106" s="3" t="s">
        <v>975</v>
      </c>
      <c r="D106" s="3" t="s">
        <v>976</v>
      </c>
      <c r="E106" s="3" t="s">
        <v>975</v>
      </c>
      <c r="F106" s="3" t="s">
        <v>977</v>
      </c>
      <c r="G106" s="3" t="s">
        <v>971</v>
      </c>
      <c r="H106" s="3" t="s">
        <v>1044</v>
      </c>
      <c r="I106" s="3" t="s">
        <v>973</v>
      </c>
      <c r="J106" s="13" t="s">
        <v>974</v>
      </c>
    </row>
    <row r="107" spans="1:10" x14ac:dyDescent="0.2">
      <c r="A107" s="3" t="s">
        <v>165</v>
      </c>
      <c r="B107" s="59" t="s">
        <v>77</v>
      </c>
      <c r="C107" s="3" t="s">
        <v>208</v>
      </c>
      <c r="D107" s="3" t="s">
        <v>1763</v>
      </c>
      <c r="E107" s="3" t="s">
        <v>975</v>
      </c>
      <c r="F107" s="3" t="s">
        <v>977</v>
      </c>
      <c r="G107" s="3" t="s">
        <v>971</v>
      </c>
      <c r="I107" s="3" t="s">
        <v>973</v>
      </c>
    </row>
    <row r="108" spans="1:10" x14ac:dyDescent="0.2">
      <c r="A108" s="3" t="s">
        <v>166</v>
      </c>
      <c r="B108" s="59" t="s">
        <v>59</v>
      </c>
      <c r="C108" s="3" t="s">
        <v>1028</v>
      </c>
      <c r="D108" s="3" t="s">
        <v>1029</v>
      </c>
      <c r="E108" s="3" t="s">
        <v>975</v>
      </c>
      <c r="F108" s="3" t="s">
        <v>977</v>
      </c>
      <c r="G108" s="3" t="s">
        <v>986</v>
      </c>
      <c r="I108" s="3" t="s">
        <v>982</v>
      </c>
    </row>
    <row r="109" spans="1:10" x14ac:dyDescent="0.2">
      <c r="A109" s="3" t="s">
        <v>169</v>
      </c>
      <c r="B109" s="59" t="s">
        <v>52</v>
      </c>
      <c r="C109" s="3" t="s">
        <v>987</v>
      </c>
      <c r="D109" s="3" t="s">
        <v>988</v>
      </c>
      <c r="E109" s="3" t="s">
        <v>76</v>
      </c>
      <c r="F109" s="3" t="s">
        <v>989</v>
      </c>
      <c r="G109" s="3" t="s">
        <v>971</v>
      </c>
      <c r="H109" s="3" t="s">
        <v>972</v>
      </c>
      <c r="I109" s="3" t="s">
        <v>973</v>
      </c>
      <c r="J109" s="13" t="s">
        <v>974</v>
      </c>
    </row>
    <row r="110" spans="1:10" x14ac:dyDescent="0.2">
      <c r="A110" s="3" t="s">
        <v>169</v>
      </c>
      <c r="B110" s="59" t="s">
        <v>52</v>
      </c>
      <c r="C110" s="3" t="s">
        <v>990</v>
      </c>
      <c r="D110" s="3" t="s">
        <v>991</v>
      </c>
      <c r="E110" s="3" t="s">
        <v>76</v>
      </c>
      <c r="F110" s="3" t="s">
        <v>989</v>
      </c>
      <c r="G110" s="3" t="s">
        <v>971</v>
      </c>
      <c r="H110" s="3" t="s">
        <v>972</v>
      </c>
      <c r="I110" s="3" t="s">
        <v>973</v>
      </c>
      <c r="J110" s="13" t="s">
        <v>974</v>
      </c>
    </row>
    <row r="111" spans="1:10" x14ac:dyDescent="0.2">
      <c r="A111" s="3" t="s">
        <v>169</v>
      </c>
      <c r="B111" s="59" t="s">
        <v>52</v>
      </c>
      <c r="C111" s="3" t="s">
        <v>992</v>
      </c>
      <c r="D111" s="3" t="s">
        <v>993</v>
      </c>
      <c r="E111" s="3" t="s">
        <v>992</v>
      </c>
      <c r="F111" s="3" t="s">
        <v>994</v>
      </c>
      <c r="G111" s="3" t="s">
        <v>986</v>
      </c>
      <c r="H111" s="3" t="s">
        <v>972</v>
      </c>
      <c r="I111" s="3" t="s">
        <v>973</v>
      </c>
      <c r="J111" s="13" t="s">
        <v>974</v>
      </c>
    </row>
    <row r="112" spans="1:10" x14ac:dyDescent="0.2">
      <c r="A112" s="3" t="s">
        <v>169</v>
      </c>
      <c r="B112" s="59" t="s">
        <v>52</v>
      </c>
      <c r="C112" s="3" t="s">
        <v>992</v>
      </c>
      <c r="D112" s="3" t="s">
        <v>993</v>
      </c>
      <c r="E112" s="3" t="s">
        <v>992</v>
      </c>
      <c r="F112" s="3" t="s">
        <v>994</v>
      </c>
      <c r="G112" s="3" t="s">
        <v>995</v>
      </c>
      <c r="H112" s="3" t="s">
        <v>972</v>
      </c>
      <c r="I112" s="3" t="s">
        <v>973</v>
      </c>
      <c r="J112" s="13" t="s">
        <v>974</v>
      </c>
    </row>
    <row r="113" spans="1:10" x14ac:dyDescent="0.2">
      <c r="A113" s="3" t="s">
        <v>169</v>
      </c>
      <c r="B113" s="59" t="s">
        <v>52</v>
      </c>
      <c r="C113" s="3" t="s">
        <v>975</v>
      </c>
      <c r="D113" s="3" t="s">
        <v>976</v>
      </c>
      <c r="E113" s="3" t="s">
        <v>975</v>
      </c>
      <c r="F113" s="3" t="s">
        <v>994</v>
      </c>
      <c r="G113" s="3" t="s">
        <v>986</v>
      </c>
      <c r="H113" s="3" t="s">
        <v>972</v>
      </c>
      <c r="I113" s="3" t="s">
        <v>973</v>
      </c>
      <c r="J113" s="13" t="s">
        <v>974</v>
      </c>
    </row>
    <row r="114" spans="1:10" x14ac:dyDescent="0.2">
      <c r="A114" s="3" t="s">
        <v>169</v>
      </c>
      <c r="B114" s="59" t="s">
        <v>52</v>
      </c>
      <c r="C114" s="3" t="s">
        <v>975</v>
      </c>
      <c r="D114" s="3" t="s">
        <v>976</v>
      </c>
      <c r="E114" s="3" t="s">
        <v>975</v>
      </c>
      <c r="F114" s="3" t="s">
        <v>994</v>
      </c>
      <c r="G114" s="3" t="s">
        <v>995</v>
      </c>
      <c r="H114" s="3" t="s">
        <v>972</v>
      </c>
      <c r="I114" s="3" t="s">
        <v>973</v>
      </c>
      <c r="J114" s="13" t="s">
        <v>974</v>
      </c>
    </row>
    <row r="115" spans="1:10" x14ac:dyDescent="0.2">
      <c r="A115" s="3" t="s">
        <v>172</v>
      </c>
      <c r="B115" s="59" t="s">
        <v>52</v>
      </c>
      <c r="C115" s="3" t="s">
        <v>987</v>
      </c>
      <c r="D115" s="3" t="s">
        <v>988</v>
      </c>
      <c r="E115" s="3" t="s">
        <v>76</v>
      </c>
      <c r="F115" s="3" t="s">
        <v>989</v>
      </c>
      <c r="G115" s="3" t="s">
        <v>971</v>
      </c>
      <c r="H115" s="3" t="s">
        <v>972</v>
      </c>
      <c r="I115" s="3" t="s">
        <v>973</v>
      </c>
      <c r="J115" s="13" t="s">
        <v>974</v>
      </c>
    </row>
    <row r="116" spans="1:10" x14ac:dyDescent="0.2">
      <c r="A116" s="3" t="s">
        <v>172</v>
      </c>
      <c r="B116" s="59" t="s">
        <v>52</v>
      </c>
      <c r="C116" s="3" t="s">
        <v>990</v>
      </c>
      <c r="D116" s="3" t="s">
        <v>991</v>
      </c>
      <c r="E116" s="3" t="s">
        <v>76</v>
      </c>
      <c r="F116" s="3" t="s">
        <v>989</v>
      </c>
      <c r="G116" s="3" t="s">
        <v>971</v>
      </c>
      <c r="H116" s="3" t="s">
        <v>972</v>
      </c>
      <c r="I116" s="3" t="s">
        <v>973</v>
      </c>
      <c r="J116" s="13" t="s">
        <v>974</v>
      </c>
    </row>
    <row r="117" spans="1:10" x14ac:dyDescent="0.2">
      <c r="A117" s="3" t="s">
        <v>172</v>
      </c>
      <c r="B117" s="59" t="s">
        <v>52</v>
      </c>
      <c r="C117" s="3" t="s">
        <v>992</v>
      </c>
      <c r="D117" s="3" t="s">
        <v>993</v>
      </c>
      <c r="E117" s="3" t="s">
        <v>992</v>
      </c>
      <c r="F117" s="3" t="s">
        <v>994</v>
      </c>
      <c r="G117" s="3" t="s">
        <v>986</v>
      </c>
      <c r="H117" s="3" t="s">
        <v>972</v>
      </c>
      <c r="I117" s="3" t="s">
        <v>973</v>
      </c>
      <c r="J117" s="13" t="s">
        <v>974</v>
      </c>
    </row>
    <row r="118" spans="1:10" x14ac:dyDescent="0.2">
      <c r="A118" s="3" t="s">
        <v>172</v>
      </c>
      <c r="B118" s="59" t="s">
        <v>52</v>
      </c>
      <c r="C118" s="3" t="s">
        <v>992</v>
      </c>
      <c r="D118" s="3" t="s">
        <v>993</v>
      </c>
      <c r="E118" s="3" t="s">
        <v>992</v>
      </c>
      <c r="F118" s="3" t="s">
        <v>994</v>
      </c>
      <c r="G118" s="3" t="s">
        <v>995</v>
      </c>
      <c r="H118" s="3" t="s">
        <v>972</v>
      </c>
      <c r="I118" s="3" t="s">
        <v>973</v>
      </c>
      <c r="J118" s="13" t="s">
        <v>974</v>
      </c>
    </row>
    <row r="119" spans="1:10" x14ac:dyDescent="0.2">
      <c r="A119" s="3" t="s">
        <v>172</v>
      </c>
      <c r="B119" s="59" t="s">
        <v>52</v>
      </c>
      <c r="C119" s="3" t="s">
        <v>975</v>
      </c>
      <c r="D119" s="3" t="s">
        <v>976</v>
      </c>
      <c r="E119" s="3" t="s">
        <v>975</v>
      </c>
      <c r="F119" s="3" t="s">
        <v>994</v>
      </c>
      <c r="G119" s="3" t="s">
        <v>986</v>
      </c>
      <c r="H119" s="3" t="s">
        <v>972</v>
      </c>
      <c r="I119" s="3" t="s">
        <v>973</v>
      </c>
      <c r="J119" s="13" t="s">
        <v>974</v>
      </c>
    </row>
    <row r="120" spans="1:10" x14ac:dyDescent="0.2">
      <c r="A120" s="3" t="s">
        <v>172</v>
      </c>
      <c r="B120" s="59" t="s">
        <v>52</v>
      </c>
      <c r="C120" s="3" t="s">
        <v>975</v>
      </c>
      <c r="D120" s="3" t="s">
        <v>976</v>
      </c>
      <c r="E120" s="3" t="s">
        <v>975</v>
      </c>
      <c r="F120" s="3" t="s">
        <v>994</v>
      </c>
      <c r="G120" s="3" t="s">
        <v>995</v>
      </c>
      <c r="H120" s="3" t="s">
        <v>972</v>
      </c>
      <c r="I120" s="3" t="s">
        <v>973</v>
      </c>
      <c r="J120" s="13" t="s">
        <v>974</v>
      </c>
    </row>
    <row r="121" spans="1:10" x14ac:dyDescent="0.2">
      <c r="A121" s="3" t="s">
        <v>174</v>
      </c>
      <c r="B121" s="59" t="s">
        <v>52</v>
      </c>
      <c r="C121" s="3" t="s">
        <v>987</v>
      </c>
      <c r="D121" s="3" t="s">
        <v>988</v>
      </c>
      <c r="E121" s="3" t="s">
        <v>76</v>
      </c>
      <c r="F121" s="3" t="s">
        <v>989</v>
      </c>
      <c r="G121" s="3" t="s">
        <v>971</v>
      </c>
      <c r="H121" s="3" t="s">
        <v>972</v>
      </c>
      <c r="I121" s="3" t="s">
        <v>973</v>
      </c>
      <c r="J121" s="13" t="s">
        <v>974</v>
      </c>
    </row>
    <row r="122" spans="1:10" x14ac:dyDescent="0.2">
      <c r="A122" s="3" t="s">
        <v>174</v>
      </c>
      <c r="B122" s="59" t="s">
        <v>52</v>
      </c>
      <c r="C122" s="3" t="s">
        <v>990</v>
      </c>
      <c r="D122" s="3" t="s">
        <v>991</v>
      </c>
      <c r="E122" s="3" t="s">
        <v>76</v>
      </c>
      <c r="F122" s="3" t="s">
        <v>989</v>
      </c>
      <c r="G122" s="3" t="s">
        <v>971</v>
      </c>
      <c r="H122" s="3" t="s">
        <v>972</v>
      </c>
      <c r="I122" s="3" t="s">
        <v>973</v>
      </c>
      <c r="J122" s="13" t="s">
        <v>974</v>
      </c>
    </row>
    <row r="123" spans="1:10" x14ac:dyDescent="0.2">
      <c r="A123" s="3" t="s">
        <v>174</v>
      </c>
      <c r="B123" s="59" t="s">
        <v>52</v>
      </c>
      <c r="C123" s="3" t="s">
        <v>992</v>
      </c>
      <c r="D123" s="3" t="s">
        <v>993</v>
      </c>
      <c r="E123" s="3" t="s">
        <v>992</v>
      </c>
      <c r="F123" s="3" t="s">
        <v>994</v>
      </c>
      <c r="G123" s="3" t="s">
        <v>986</v>
      </c>
      <c r="H123" s="3" t="s">
        <v>972</v>
      </c>
      <c r="I123" s="3" t="s">
        <v>973</v>
      </c>
      <c r="J123" s="13" t="s">
        <v>974</v>
      </c>
    </row>
    <row r="124" spans="1:10" x14ac:dyDescent="0.2">
      <c r="A124" s="3" t="s">
        <v>174</v>
      </c>
      <c r="B124" s="59" t="s">
        <v>52</v>
      </c>
      <c r="C124" s="3" t="s">
        <v>992</v>
      </c>
      <c r="D124" s="3" t="s">
        <v>993</v>
      </c>
      <c r="E124" s="3" t="s">
        <v>992</v>
      </c>
      <c r="F124" s="3" t="s">
        <v>994</v>
      </c>
      <c r="G124" s="3" t="s">
        <v>995</v>
      </c>
      <c r="H124" s="3" t="s">
        <v>972</v>
      </c>
      <c r="I124" s="3" t="s">
        <v>973</v>
      </c>
      <c r="J124" s="13" t="s">
        <v>974</v>
      </c>
    </row>
    <row r="125" spans="1:10" x14ac:dyDescent="0.2">
      <c r="A125" s="3" t="s">
        <v>174</v>
      </c>
      <c r="B125" s="59" t="s">
        <v>52</v>
      </c>
      <c r="C125" s="3" t="s">
        <v>975</v>
      </c>
      <c r="D125" s="3" t="s">
        <v>976</v>
      </c>
      <c r="E125" s="3" t="s">
        <v>975</v>
      </c>
      <c r="F125" s="3" t="s">
        <v>994</v>
      </c>
      <c r="G125" s="3" t="s">
        <v>986</v>
      </c>
      <c r="H125" s="3" t="s">
        <v>972</v>
      </c>
      <c r="I125" s="3" t="s">
        <v>973</v>
      </c>
      <c r="J125" s="13" t="s">
        <v>974</v>
      </c>
    </row>
    <row r="126" spans="1:10" x14ac:dyDescent="0.2">
      <c r="A126" s="3" t="s">
        <v>174</v>
      </c>
      <c r="B126" s="59" t="s">
        <v>52</v>
      </c>
      <c r="C126" s="3" t="s">
        <v>975</v>
      </c>
      <c r="D126" s="3" t="s">
        <v>976</v>
      </c>
      <c r="E126" s="3" t="s">
        <v>975</v>
      </c>
      <c r="F126" s="3" t="s">
        <v>994</v>
      </c>
      <c r="G126" s="3" t="s">
        <v>995</v>
      </c>
      <c r="H126" s="3" t="s">
        <v>972</v>
      </c>
      <c r="I126" s="3" t="s">
        <v>973</v>
      </c>
      <c r="J126" s="13" t="s">
        <v>974</v>
      </c>
    </row>
    <row r="127" spans="1:10" x14ac:dyDescent="0.2">
      <c r="A127" s="3" t="s">
        <v>177</v>
      </c>
      <c r="B127" s="59" t="s">
        <v>180</v>
      </c>
      <c r="C127" s="3" t="s">
        <v>1030</v>
      </c>
      <c r="D127" s="3" t="s">
        <v>1008</v>
      </c>
      <c r="E127" s="3" t="s">
        <v>975</v>
      </c>
      <c r="F127" s="3" t="s">
        <v>977</v>
      </c>
      <c r="G127" s="3" t="s">
        <v>986</v>
      </c>
      <c r="I127" s="3" t="s">
        <v>973</v>
      </c>
    </row>
    <row r="128" spans="1:10" x14ac:dyDescent="0.2">
      <c r="A128" s="3" t="s">
        <v>182</v>
      </c>
      <c r="B128" s="59" t="s">
        <v>20</v>
      </c>
      <c r="C128" s="3" t="s">
        <v>975</v>
      </c>
      <c r="D128" s="3" t="s">
        <v>976</v>
      </c>
      <c r="E128" s="3" t="s">
        <v>975</v>
      </c>
      <c r="F128" s="3" t="s">
        <v>977</v>
      </c>
      <c r="G128" s="3" t="s">
        <v>1000</v>
      </c>
      <c r="H128" s="3" t="s">
        <v>1031</v>
      </c>
      <c r="I128" s="3" t="s">
        <v>973</v>
      </c>
      <c r="J128" s="13" t="s">
        <v>974</v>
      </c>
    </row>
    <row r="129" spans="1:10" x14ac:dyDescent="0.2">
      <c r="A129" s="3" t="s">
        <v>184</v>
      </c>
      <c r="B129" s="59" t="s">
        <v>20</v>
      </c>
      <c r="C129" s="3" t="s">
        <v>975</v>
      </c>
      <c r="D129" s="3" t="s">
        <v>976</v>
      </c>
      <c r="E129" s="3" t="s">
        <v>975</v>
      </c>
      <c r="F129" s="3" t="s">
        <v>977</v>
      </c>
      <c r="G129" s="3" t="s">
        <v>1000</v>
      </c>
      <c r="H129" s="3" t="s">
        <v>1031</v>
      </c>
      <c r="I129" s="3" t="s">
        <v>973</v>
      </c>
      <c r="J129" s="13" t="s">
        <v>974</v>
      </c>
    </row>
    <row r="130" spans="1:10" x14ac:dyDescent="0.2">
      <c r="A130" s="3" t="s">
        <v>187</v>
      </c>
      <c r="B130" s="59" t="s">
        <v>52</v>
      </c>
      <c r="C130" s="3" t="s">
        <v>987</v>
      </c>
      <c r="D130" s="3" t="s">
        <v>988</v>
      </c>
      <c r="E130" s="3" t="s">
        <v>76</v>
      </c>
      <c r="F130" s="3" t="s">
        <v>989</v>
      </c>
      <c r="G130" s="3" t="s">
        <v>971</v>
      </c>
      <c r="H130" s="3" t="s">
        <v>972</v>
      </c>
      <c r="I130" s="3" t="s">
        <v>973</v>
      </c>
      <c r="J130" s="13" t="s">
        <v>974</v>
      </c>
    </row>
    <row r="131" spans="1:10" x14ac:dyDescent="0.2">
      <c r="A131" s="3" t="s">
        <v>187</v>
      </c>
      <c r="B131" s="59" t="s">
        <v>52</v>
      </c>
      <c r="C131" s="3" t="s">
        <v>990</v>
      </c>
      <c r="D131" s="3" t="s">
        <v>991</v>
      </c>
      <c r="E131" s="3" t="s">
        <v>76</v>
      </c>
      <c r="F131" s="3" t="s">
        <v>989</v>
      </c>
      <c r="G131" s="3" t="s">
        <v>971</v>
      </c>
      <c r="H131" s="3" t="s">
        <v>972</v>
      </c>
      <c r="I131" s="3" t="s">
        <v>973</v>
      </c>
      <c r="J131" s="13" t="s">
        <v>974</v>
      </c>
    </row>
    <row r="132" spans="1:10" x14ac:dyDescent="0.2">
      <c r="A132" s="3" t="s">
        <v>187</v>
      </c>
      <c r="B132" s="59" t="s">
        <v>52</v>
      </c>
      <c r="C132" s="3" t="s">
        <v>992</v>
      </c>
      <c r="D132" s="3" t="s">
        <v>993</v>
      </c>
      <c r="E132" s="3" t="s">
        <v>992</v>
      </c>
      <c r="F132" s="3" t="s">
        <v>994</v>
      </c>
      <c r="G132" s="3" t="s">
        <v>986</v>
      </c>
      <c r="H132" s="3" t="s">
        <v>972</v>
      </c>
      <c r="I132" s="3" t="s">
        <v>973</v>
      </c>
      <c r="J132" s="13" t="s">
        <v>974</v>
      </c>
    </row>
    <row r="133" spans="1:10" x14ac:dyDescent="0.2">
      <c r="A133" s="3" t="s">
        <v>187</v>
      </c>
      <c r="B133" s="59" t="s">
        <v>52</v>
      </c>
      <c r="C133" s="3" t="s">
        <v>992</v>
      </c>
      <c r="D133" s="3" t="s">
        <v>993</v>
      </c>
      <c r="E133" s="3" t="s">
        <v>992</v>
      </c>
      <c r="F133" s="3" t="s">
        <v>994</v>
      </c>
      <c r="G133" s="3" t="s">
        <v>995</v>
      </c>
      <c r="H133" s="3" t="s">
        <v>972</v>
      </c>
      <c r="I133" s="3" t="s">
        <v>973</v>
      </c>
      <c r="J133" s="13" t="s">
        <v>974</v>
      </c>
    </row>
    <row r="134" spans="1:10" x14ac:dyDescent="0.2">
      <c r="A134" s="3" t="s">
        <v>187</v>
      </c>
      <c r="B134" s="59" t="s">
        <v>52</v>
      </c>
      <c r="C134" s="3" t="s">
        <v>975</v>
      </c>
      <c r="D134" s="3" t="s">
        <v>976</v>
      </c>
      <c r="E134" s="3" t="s">
        <v>975</v>
      </c>
      <c r="F134" s="3" t="s">
        <v>994</v>
      </c>
      <c r="G134" s="3" t="s">
        <v>986</v>
      </c>
      <c r="H134" s="3" t="s">
        <v>972</v>
      </c>
      <c r="I134" s="3" t="s">
        <v>973</v>
      </c>
      <c r="J134" s="13" t="s">
        <v>974</v>
      </c>
    </row>
    <row r="135" spans="1:10" x14ac:dyDescent="0.2">
      <c r="A135" s="3" t="s">
        <v>187</v>
      </c>
      <c r="B135" s="59" t="s">
        <v>52</v>
      </c>
      <c r="C135" s="3" t="s">
        <v>975</v>
      </c>
      <c r="D135" s="3" t="s">
        <v>976</v>
      </c>
      <c r="E135" s="3" t="s">
        <v>975</v>
      </c>
      <c r="F135" s="3" t="s">
        <v>994</v>
      </c>
      <c r="G135" s="3" t="s">
        <v>995</v>
      </c>
      <c r="H135" s="3" t="s">
        <v>972</v>
      </c>
      <c r="I135" s="3" t="s">
        <v>973</v>
      </c>
      <c r="J135" s="13" t="s">
        <v>974</v>
      </c>
    </row>
    <row r="136" spans="1:10" x14ac:dyDescent="0.2">
      <c r="A136" s="3" t="s">
        <v>191</v>
      </c>
      <c r="B136" s="59" t="s">
        <v>52</v>
      </c>
      <c r="C136" s="3" t="s">
        <v>987</v>
      </c>
      <c r="D136" s="3" t="s">
        <v>988</v>
      </c>
      <c r="E136" s="3" t="s">
        <v>76</v>
      </c>
      <c r="F136" s="3" t="s">
        <v>989</v>
      </c>
      <c r="G136" s="3" t="s">
        <v>971</v>
      </c>
      <c r="H136" s="3" t="s">
        <v>972</v>
      </c>
      <c r="I136" s="3" t="s">
        <v>973</v>
      </c>
      <c r="J136" s="13" t="s">
        <v>974</v>
      </c>
    </row>
    <row r="137" spans="1:10" x14ac:dyDescent="0.2">
      <c r="A137" s="3" t="s">
        <v>191</v>
      </c>
      <c r="B137" s="59" t="s">
        <v>52</v>
      </c>
      <c r="C137" s="3" t="s">
        <v>990</v>
      </c>
      <c r="D137" s="3" t="s">
        <v>991</v>
      </c>
      <c r="E137" s="3" t="s">
        <v>76</v>
      </c>
      <c r="F137" s="3" t="s">
        <v>989</v>
      </c>
      <c r="G137" s="3" t="s">
        <v>971</v>
      </c>
      <c r="H137" s="3" t="s">
        <v>972</v>
      </c>
      <c r="I137" s="3" t="s">
        <v>973</v>
      </c>
      <c r="J137" s="13" t="s">
        <v>974</v>
      </c>
    </row>
    <row r="138" spans="1:10" x14ac:dyDescent="0.2">
      <c r="A138" s="3" t="s">
        <v>191</v>
      </c>
      <c r="B138" s="59" t="s">
        <v>52</v>
      </c>
      <c r="C138" s="3" t="s">
        <v>992</v>
      </c>
      <c r="D138" s="3" t="s">
        <v>993</v>
      </c>
      <c r="E138" s="3" t="s">
        <v>992</v>
      </c>
      <c r="F138" s="3" t="s">
        <v>994</v>
      </c>
      <c r="G138" s="3" t="s">
        <v>986</v>
      </c>
      <c r="H138" s="3" t="s">
        <v>972</v>
      </c>
      <c r="I138" s="3" t="s">
        <v>973</v>
      </c>
      <c r="J138" s="13" t="s">
        <v>974</v>
      </c>
    </row>
    <row r="139" spans="1:10" x14ac:dyDescent="0.2">
      <c r="A139" s="3" t="s">
        <v>191</v>
      </c>
      <c r="B139" s="59" t="s">
        <v>52</v>
      </c>
      <c r="C139" s="3" t="s">
        <v>992</v>
      </c>
      <c r="D139" s="3" t="s">
        <v>993</v>
      </c>
      <c r="E139" s="3" t="s">
        <v>992</v>
      </c>
      <c r="F139" s="3" t="s">
        <v>994</v>
      </c>
      <c r="G139" s="3" t="s">
        <v>995</v>
      </c>
      <c r="H139" s="3" t="s">
        <v>972</v>
      </c>
      <c r="I139" s="3" t="s">
        <v>973</v>
      </c>
      <c r="J139" s="13" t="s">
        <v>974</v>
      </c>
    </row>
    <row r="140" spans="1:10" x14ac:dyDescent="0.2">
      <c r="A140" s="3" t="s">
        <v>191</v>
      </c>
      <c r="B140" s="59" t="s">
        <v>52</v>
      </c>
      <c r="C140" s="3" t="s">
        <v>975</v>
      </c>
      <c r="D140" s="3" t="s">
        <v>976</v>
      </c>
      <c r="E140" s="3" t="s">
        <v>975</v>
      </c>
      <c r="F140" s="3" t="s">
        <v>994</v>
      </c>
      <c r="G140" s="3" t="s">
        <v>986</v>
      </c>
      <c r="H140" s="3" t="s">
        <v>972</v>
      </c>
      <c r="I140" s="3" t="s">
        <v>973</v>
      </c>
      <c r="J140" s="13" t="s">
        <v>974</v>
      </c>
    </row>
    <row r="141" spans="1:10" x14ac:dyDescent="0.2">
      <c r="A141" s="3" t="s">
        <v>191</v>
      </c>
      <c r="B141" s="59" t="s">
        <v>52</v>
      </c>
      <c r="C141" s="3" t="s">
        <v>975</v>
      </c>
      <c r="D141" s="3" t="s">
        <v>976</v>
      </c>
      <c r="E141" s="3" t="s">
        <v>975</v>
      </c>
      <c r="F141" s="3" t="s">
        <v>994</v>
      </c>
      <c r="G141" s="3" t="s">
        <v>995</v>
      </c>
      <c r="H141" s="3" t="s">
        <v>972</v>
      </c>
      <c r="I141" s="3" t="s">
        <v>973</v>
      </c>
      <c r="J141" s="13" t="s">
        <v>974</v>
      </c>
    </row>
    <row r="142" spans="1:10" x14ac:dyDescent="0.2">
      <c r="A142" s="3" t="s">
        <v>1310</v>
      </c>
      <c r="B142" s="59" t="s">
        <v>68</v>
      </c>
      <c r="C142" s="3" t="s">
        <v>1346</v>
      </c>
      <c r="D142" s="3" t="s">
        <v>997</v>
      </c>
      <c r="E142" s="3" t="s">
        <v>1347</v>
      </c>
      <c r="F142" s="3" t="s">
        <v>1348</v>
      </c>
      <c r="G142" s="3" t="s">
        <v>971</v>
      </c>
      <c r="I142" s="3" t="s">
        <v>973</v>
      </c>
    </row>
    <row r="143" spans="1:10" x14ac:dyDescent="0.2">
      <c r="A143" s="3" t="s">
        <v>192</v>
      </c>
      <c r="B143" s="59" t="s">
        <v>195</v>
      </c>
      <c r="C143" s="3" t="s">
        <v>1032</v>
      </c>
      <c r="D143" s="3" t="s">
        <v>997</v>
      </c>
      <c r="E143" s="3" t="s">
        <v>975</v>
      </c>
      <c r="F143" s="3" t="s">
        <v>977</v>
      </c>
      <c r="G143" s="3" t="s">
        <v>986</v>
      </c>
      <c r="I143" s="3" t="s">
        <v>973</v>
      </c>
    </row>
    <row r="144" spans="1:10" x14ac:dyDescent="0.2">
      <c r="A144" s="3" t="s">
        <v>197</v>
      </c>
      <c r="B144" s="59" t="s">
        <v>77</v>
      </c>
      <c r="C144" s="3" t="s">
        <v>208</v>
      </c>
      <c r="D144" s="3" t="s">
        <v>1763</v>
      </c>
      <c r="E144" s="3" t="s">
        <v>975</v>
      </c>
      <c r="F144" s="3" t="s">
        <v>977</v>
      </c>
      <c r="G144" s="3" t="s">
        <v>971</v>
      </c>
      <c r="I144" s="3" t="s">
        <v>973</v>
      </c>
    </row>
    <row r="145" spans="1:10" x14ac:dyDescent="0.2">
      <c r="A145" s="3" t="s">
        <v>199</v>
      </c>
      <c r="B145" s="59" t="s">
        <v>59</v>
      </c>
      <c r="C145" s="3" t="s">
        <v>975</v>
      </c>
      <c r="D145" s="3" t="s">
        <v>976</v>
      </c>
      <c r="E145" s="3" t="s">
        <v>975</v>
      </c>
      <c r="F145" s="3" t="s">
        <v>977</v>
      </c>
      <c r="G145" s="3" t="s">
        <v>1000</v>
      </c>
      <c r="H145" s="3" t="s">
        <v>1033</v>
      </c>
      <c r="I145" s="3" t="s">
        <v>973</v>
      </c>
      <c r="J145" s="13" t="s">
        <v>974</v>
      </c>
    </row>
    <row r="146" spans="1:10" x14ac:dyDescent="0.2">
      <c r="A146" s="3" t="s">
        <v>199</v>
      </c>
      <c r="B146" s="59" t="s">
        <v>45</v>
      </c>
      <c r="C146" s="3" t="s">
        <v>45</v>
      </c>
      <c r="D146" s="3" t="s">
        <v>997</v>
      </c>
      <c r="E146" s="3" t="s">
        <v>975</v>
      </c>
      <c r="F146" s="3" t="s">
        <v>977</v>
      </c>
      <c r="G146" s="3" t="s">
        <v>986</v>
      </c>
      <c r="I146" s="3" t="s">
        <v>973</v>
      </c>
    </row>
    <row r="147" spans="1:10" x14ac:dyDescent="0.2">
      <c r="A147" s="3" t="s">
        <v>199</v>
      </c>
      <c r="B147" s="59" t="s">
        <v>68</v>
      </c>
      <c r="C147" s="3" t="s">
        <v>68</v>
      </c>
      <c r="D147" s="3" t="s">
        <v>997</v>
      </c>
      <c r="E147" s="3" t="s">
        <v>975</v>
      </c>
      <c r="F147" s="3" t="s">
        <v>977</v>
      </c>
      <c r="G147" s="3" t="s">
        <v>986</v>
      </c>
      <c r="I147" s="3" t="s">
        <v>973</v>
      </c>
    </row>
    <row r="148" spans="1:10" x14ac:dyDescent="0.2">
      <c r="A148" s="3" t="s">
        <v>202</v>
      </c>
      <c r="B148" s="59" t="s">
        <v>77</v>
      </c>
      <c r="C148" s="3" t="s">
        <v>208</v>
      </c>
      <c r="D148" s="3" t="s">
        <v>981</v>
      </c>
      <c r="E148" s="3" t="s">
        <v>975</v>
      </c>
      <c r="F148" s="3" t="s">
        <v>977</v>
      </c>
      <c r="G148" s="3" t="s">
        <v>971</v>
      </c>
      <c r="I148" s="3" t="s">
        <v>973</v>
      </c>
    </row>
    <row r="149" spans="1:10" x14ac:dyDescent="0.2">
      <c r="A149" s="3" t="s">
        <v>202</v>
      </c>
      <c r="B149" s="59" t="s">
        <v>77</v>
      </c>
      <c r="C149" s="3" t="s">
        <v>208</v>
      </c>
      <c r="D149" s="3" t="s">
        <v>981</v>
      </c>
      <c r="E149" s="3" t="s">
        <v>975</v>
      </c>
      <c r="F149" s="3" t="s">
        <v>977</v>
      </c>
      <c r="G149" s="3" t="s">
        <v>971</v>
      </c>
      <c r="I149" s="3" t="s">
        <v>973</v>
      </c>
    </row>
    <row r="150" spans="1:10" x14ac:dyDescent="0.2">
      <c r="A150" s="3" t="s">
        <v>1307</v>
      </c>
      <c r="B150" s="59" t="s">
        <v>20</v>
      </c>
      <c r="C150" s="3" t="s">
        <v>1011</v>
      </c>
      <c r="D150" s="3" t="s">
        <v>1012</v>
      </c>
      <c r="E150" s="3" t="s">
        <v>1013</v>
      </c>
      <c r="F150" s="3" t="s">
        <v>1014</v>
      </c>
      <c r="G150" s="3" t="s">
        <v>1015</v>
      </c>
      <c r="H150" s="3" t="s">
        <v>972</v>
      </c>
      <c r="I150" s="3" t="s">
        <v>973</v>
      </c>
      <c r="J150" s="13" t="s">
        <v>974</v>
      </c>
    </row>
    <row r="151" spans="1:10" x14ac:dyDescent="0.2">
      <c r="A151" s="3" t="s">
        <v>1307</v>
      </c>
      <c r="B151" s="59" t="s">
        <v>20</v>
      </c>
      <c r="C151" s="3" t="s">
        <v>1016</v>
      </c>
      <c r="D151" s="3" t="s">
        <v>1012</v>
      </c>
      <c r="E151" s="3" t="s">
        <v>1013</v>
      </c>
      <c r="F151" s="3" t="s">
        <v>1014</v>
      </c>
      <c r="G151" s="3" t="s">
        <v>1015</v>
      </c>
      <c r="H151" s="3" t="s">
        <v>972</v>
      </c>
      <c r="I151" s="3" t="s">
        <v>973</v>
      </c>
      <c r="J151" s="13" t="s">
        <v>974</v>
      </c>
    </row>
    <row r="152" spans="1:10" x14ac:dyDescent="0.2">
      <c r="A152" s="3" t="s">
        <v>1307</v>
      </c>
      <c r="B152" s="59" t="s">
        <v>20</v>
      </c>
      <c r="C152" s="3" t="s">
        <v>1017</v>
      </c>
      <c r="D152" s="3" t="s">
        <v>1012</v>
      </c>
      <c r="E152" s="3" t="s">
        <v>1013</v>
      </c>
      <c r="F152" s="3" t="s">
        <v>1014</v>
      </c>
      <c r="G152" s="3" t="s">
        <v>1015</v>
      </c>
      <c r="H152" s="3" t="s">
        <v>972</v>
      </c>
      <c r="I152" s="3" t="s">
        <v>973</v>
      </c>
      <c r="J152" s="13" t="s">
        <v>974</v>
      </c>
    </row>
    <row r="153" spans="1:10" x14ac:dyDescent="0.2">
      <c r="A153" s="3" t="s">
        <v>1307</v>
      </c>
      <c r="B153" s="59" t="s">
        <v>20</v>
      </c>
      <c r="C153" s="3" t="s">
        <v>975</v>
      </c>
      <c r="D153" s="3" t="s">
        <v>976</v>
      </c>
      <c r="E153" s="3" t="s">
        <v>975</v>
      </c>
      <c r="F153" s="3" t="s">
        <v>977</v>
      </c>
      <c r="G153" s="3" t="s">
        <v>1000</v>
      </c>
      <c r="H153" s="3" t="s">
        <v>972</v>
      </c>
      <c r="I153" s="3" t="s">
        <v>973</v>
      </c>
      <c r="J153" s="13" t="s">
        <v>974</v>
      </c>
    </row>
    <row r="154" spans="1:10" x14ac:dyDescent="0.2">
      <c r="A154" s="3" t="s">
        <v>1307</v>
      </c>
      <c r="B154" s="59" t="s">
        <v>20</v>
      </c>
      <c r="C154" s="3" t="s">
        <v>1018</v>
      </c>
      <c r="D154" s="3" t="s">
        <v>976</v>
      </c>
      <c r="E154" s="3" t="s">
        <v>975</v>
      </c>
      <c r="F154" s="3" t="s">
        <v>977</v>
      </c>
      <c r="G154" s="3" t="s">
        <v>1000</v>
      </c>
      <c r="H154" s="3" t="s">
        <v>972</v>
      </c>
      <c r="I154" s="3" t="s">
        <v>973</v>
      </c>
      <c r="J154" s="13" t="s">
        <v>974</v>
      </c>
    </row>
    <row r="155" spans="1:10" x14ac:dyDescent="0.2">
      <c r="A155" s="3" t="s">
        <v>1307</v>
      </c>
      <c r="B155" s="59" t="s">
        <v>20</v>
      </c>
      <c r="C155" s="3" t="s">
        <v>1019</v>
      </c>
      <c r="D155" s="3" t="s">
        <v>976</v>
      </c>
      <c r="E155" s="3" t="s">
        <v>975</v>
      </c>
      <c r="F155" s="3" t="s">
        <v>977</v>
      </c>
      <c r="G155" s="3" t="s">
        <v>1000</v>
      </c>
      <c r="H155" s="3" t="s">
        <v>972</v>
      </c>
      <c r="I155" s="3" t="s">
        <v>973</v>
      </c>
      <c r="J155" s="13" t="s">
        <v>974</v>
      </c>
    </row>
    <row r="156" spans="1:10" x14ac:dyDescent="0.2">
      <c r="A156" s="3" t="s">
        <v>206</v>
      </c>
      <c r="B156" s="59" t="s">
        <v>208</v>
      </c>
      <c r="C156" s="3" t="s">
        <v>208</v>
      </c>
      <c r="D156" s="3" t="s">
        <v>981</v>
      </c>
      <c r="E156" s="3" t="s">
        <v>975</v>
      </c>
      <c r="F156" s="3" t="s">
        <v>977</v>
      </c>
      <c r="G156" s="3" t="s">
        <v>971</v>
      </c>
      <c r="I156" s="3" t="s">
        <v>973</v>
      </c>
    </row>
    <row r="157" spans="1:10" x14ac:dyDescent="0.2">
      <c r="A157" s="3" t="s">
        <v>209</v>
      </c>
      <c r="B157" s="59" t="s">
        <v>45</v>
      </c>
      <c r="C157" s="3" t="s">
        <v>45</v>
      </c>
      <c r="D157" s="3" t="s">
        <v>997</v>
      </c>
      <c r="E157" s="3" t="s">
        <v>975</v>
      </c>
      <c r="F157" s="3" t="s">
        <v>977</v>
      </c>
      <c r="G157" s="3" t="s">
        <v>986</v>
      </c>
      <c r="I157" s="3" t="s">
        <v>973</v>
      </c>
    </row>
    <row r="158" spans="1:10" x14ac:dyDescent="0.2">
      <c r="A158" s="3" t="s">
        <v>211</v>
      </c>
      <c r="B158" s="59" t="s">
        <v>45</v>
      </c>
      <c r="C158" s="3" t="s">
        <v>45</v>
      </c>
      <c r="D158" s="3" t="s">
        <v>997</v>
      </c>
      <c r="E158" s="3" t="s">
        <v>975</v>
      </c>
      <c r="F158" s="3" t="s">
        <v>977</v>
      </c>
      <c r="G158" s="3" t="s">
        <v>986</v>
      </c>
      <c r="I158" s="3" t="s">
        <v>973</v>
      </c>
    </row>
    <row r="159" spans="1:10" x14ac:dyDescent="0.2">
      <c r="A159" s="3" t="s">
        <v>213</v>
      </c>
      <c r="B159" s="59" t="s">
        <v>1034</v>
      </c>
      <c r="C159" s="3" t="s">
        <v>1035</v>
      </c>
      <c r="D159" s="3" t="s">
        <v>1008</v>
      </c>
      <c r="E159" s="85" t="s">
        <v>1320</v>
      </c>
      <c r="F159" s="85" t="s">
        <v>1321</v>
      </c>
      <c r="G159" s="3" t="s">
        <v>971</v>
      </c>
      <c r="I159" s="3" t="s">
        <v>973</v>
      </c>
    </row>
    <row r="160" spans="1:10" x14ac:dyDescent="0.2">
      <c r="A160" s="3" t="s">
        <v>216</v>
      </c>
      <c r="B160" s="59" t="s">
        <v>217</v>
      </c>
      <c r="C160" s="3" t="s">
        <v>1028</v>
      </c>
      <c r="D160" s="3" t="s">
        <v>1012</v>
      </c>
      <c r="E160" s="85" t="s">
        <v>1320</v>
      </c>
      <c r="F160" s="85" t="s">
        <v>1321</v>
      </c>
      <c r="G160" s="3" t="s">
        <v>971</v>
      </c>
      <c r="I160" s="3" t="s">
        <v>973</v>
      </c>
    </row>
    <row r="161" spans="1:10" x14ac:dyDescent="0.2">
      <c r="A161" s="3" t="s">
        <v>219</v>
      </c>
      <c r="B161" s="59" t="s">
        <v>217</v>
      </c>
      <c r="C161" s="3" t="s">
        <v>1028</v>
      </c>
      <c r="D161" s="3" t="s">
        <v>1012</v>
      </c>
      <c r="E161" s="85" t="s">
        <v>1320</v>
      </c>
      <c r="F161" s="85" t="s">
        <v>1321</v>
      </c>
      <c r="G161" s="3" t="s">
        <v>971</v>
      </c>
      <c r="I161" s="3" t="s">
        <v>973</v>
      </c>
    </row>
    <row r="162" spans="1:10" x14ac:dyDescent="0.2">
      <c r="A162" s="3" t="s">
        <v>220</v>
      </c>
      <c r="B162" s="59" t="s">
        <v>1034</v>
      </c>
      <c r="C162" s="3" t="s">
        <v>1035</v>
      </c>
      <c r="D162" s="3" t="s">
        <v>1008</v>
      </c>
      <c r="E162" s="85" t="s">
        <v>1320</v>
      </c>
      <c r="F162" s="85" t="s">
        <v>1321</v>
      </c>
      <c r="G162" s="3" t="s">
        <v>971</v>
      </c>
      <c r="I162" s="3" t="s">
        <v>973</v>
      </c>
    </row>
    <row r="164" spans="1:10" x14ac:dyDescent="0.2">
      <c r="A164" s="14" t="s">
        <v>222</v>
      </c>
      <c r="B164" s="60"/>
      <c r="C164" s="15"/>
      <c r="D164" s="15"/>
      <c r="E164" s="15"/>
      <c r="F164" s="15"/>
      <c r="G164" s="15"/>
      <c r="H164" s="15"/>
      <c r="I164" s="15"/>
      <c r="J164" s="16"/>
    </row>
    <row r="165" spans="1:10" x14ac:dyDescent="0.2">
      <c r="A165" s="3" t="s">
        <v>223</v>
      </c>
      <c r="B165" s="59" t="s">
        <v>20</v>
      </c>
      <c r="C165" s="3" t="s">
        <v>975</v>
      </c>
      <c r="D165" s="3" t="s">
        <v>976</v>
      </c>
      <c r="E165" s="3" t="s">
        <v>975</v>
      </c>
      <c r="F165" s="3" t="s">
        <v>977</v>
      </c>
      <c r="G165" s="3" t="s">
        <v>971</v>
      </c>
      <c r="H165" s="3" t="s">
        <v>1005</v>
      </c>
      <c r="I165" s="3" t="s">
        <v>973</v>
      </c>
      <c r="J165" s="13" t="s">
        <v>974</v>
      </c>
    </row>
    <row r="166" spans="1:10" x14ac:dyDescent="0.2">
      <c r="A166" s="3" t="s">
        <v>227</v>
      </c>
      <c r="B166" s="59" t="s">
        <v>20</v>
      </c>
      <c r="C166" s="3" t="s">
        <v>975</v>
      </c>
      <c r="D166" s="3" t="s">
        <v>976</v>
      </c>
      <c r="E166" s="3" t="s">
        <v>975</v>
      </c>
      <c r="F166" s="3" t="s">
        <v>977</v>
      </c>
      <c r="G166" s="3" t="s">
        <v>1000</v>
      </c>
      <c r="H166" s="3" t="s">
        <v>1005</v>
      </c>
      <c r="I166" s="3" t="s">
        <v>973</v>
      </c>
      <c r="J166" s="13" t="s">
        <v>974</v>
      </c>
    </row>
    <row r="167" spans="1:10" x14ac:dyDescent="0.2">
      <c r="A167" s="3" t="s">
        <v>230</v>
      </c>
      <c r="B167" s="59" t="s">
        <v>59</v>
      </c>
      <c r="C167" s="3" t="s">
        <v>975</v>
      </c>
      <c r="D167" s="3" t="s">
        <v>976</v>
      </c>
      <c r="E167" s="3" t="s">
        <v>975</v>
      </c>
      <c r="F167" s="3" t="s">
        <v>977</v>
      </c>
      <c r="G167" s="3" t="s">
        <v>1000</v>
      </c>
      <c r="H167" s="3" t="s">
        <v>1005</v>
      </c>
      <c r="I167" s="3" t="s">
        <v>973</v>
      </c>
      <c r="J167" s="13" t="s">
        <v>974</v>
      </c>
    </row>
    <row r="168" spans="1:10" x14ac:dyDescent="0.2">
      <c r="A168" s="3" t="s">
        <v>233</v>
      </c>
      <c r="B168" s="59" t="s">
        <v>20</v>
      </c>
      <c r="C168" s="3" t="s">
        <v>975</v>
      </c>
      <c r="D168" s="3" t="s">
        <v>976</v>
      </c>
      <c r="E168" s="3" t="s">
        <v>975</v>
      </c>
      <c r="F168" s="3" t="s">
        <v>977</v>
      </c>
      <c r="G168" s="3" t="s">
        <v>1000</v>
      </c>
      <c r="H168" s="3" t="s">
        <v>1005</v>
      </c>
      <c r="I168" s="3" t="s">
        <v>973</v>
      </c>
      <c r="J168" s="13" t="s">
        <v>974</v>
      </c>
    </row>
    <row r="169" spans="1:10" x14ac:dyDescent="0.2">
      <c r="A169" s="3" t="s">
        <v>237</v>
      </c>
      <c r="B169" s="59" t="s">
        <v>59</v>
      </c>
      <c r="C169" s="3" t="s">
        <v>975</v>
      </c>
      <c r="D169" s="3" t="s">
        <v>976</v>
      </c>
      <c r="E169" s="3" t="s">
        <v>975</v>
      </c>
      <c r="F169" s="3" t="s">
        <v>977</v>
      </c>
      <c r="G169" s="3" t="s">
        <v>1000</v>
      </c>
      <c r="H169" s="3" t="s">
        <v>1005</v>
      </c>
      <c r="I169" s="3" t="s">
        <v>973</v>
      </c>
      <c r="J169" s="13" t="s">
        <v>974</v>
      </c>
    </row>
    <row r="170" spans="1:10" x14ac:dyDescent="0.2">
      <c r="A170" s="3" t="s">
        <v>241</v>
      </c>
      <c r="B170" s="59" t="s">
        <v>790</v>
      </c>
      <c r="C170" s="3" t="s">
        <v>208</v>
      </c>
      <c r="D170" s="3" t="s">
        <v>981</v>
      </c>
      <c r="E170" s="3" t="s">
        <v>1002</v>
      </c>
      <c r="F170" s="3" t="s">
        <v>1036</v>
      </c>
      <c r="G170" s="3" t="s">
        <v>995</v>
      </c>
      <c r="I170" s="3" t="s">
        <v>973</v>
      </c>
    </row>
    <row r="171" spans="1:10" x14ac:dyDescent="0.2">
      <c r="A171" s="3" t="s">
        <v>241</v>
      </c>
      <c r="B171" s="59" t="s">
        <v>20</v>
      </c>
      <c r="C171" s="3" t="s">
        <v>969</v>
      </c>
      <c r="D171" s="3" t="s">
        <v>970</v>
      </c>
      <c r="E171" s="3" t="s">
        <v>969</v>
      </c>
      <c r="F171" s="3" t="s">
        <v>1071</v>
      </c>
      <c r="G171" s="3" t="s">
        <v>971</v>
      </c>
      <c r="H171" s="3" t="s">
        <v>972</v>
      </c>
      <c r="I171" s="3" t="s">
        <v>973</v>
      </c>
      <c r="J171" s="13" t="s">
        <v>974</v>
      </c>
    </row>
    <row r="172" spans="1:10" x14ac:dyDescent="0.2">
      <c r="A172" s="3" t="s">
        <v>241</v>
      </c>
      <c r="B172" s="59" t="s">
        <v>20</v>
      </c>
      <c r="C172" s="3" t="s">
        <v>975</v>
      </c>
      <c r="D172" s="3" t="s">
        <v>976</v>
      </c>
      <c r="E172" s="3" t="s">
        <v>975</v>
      </c>
      <c r="F172" s="3" t="s">
        <v>977</v>
      </c>
      <c r="G172" s="3" t="s">
        <v>1000</v>
      </c>
      <c r="H172" s="3" t="s">
        <v>972</v>
      </c>
      <c r="I172" s="3" t="s">
        <v>973</v>
      </c>
      <c r="J172" s="13" t="s">
        <v>974</v>
      </c>
    </row>
    <row r="173" spans="1:10" x14ac:dyDescent="0.2">
      <c r="A173" s="3" t="s">
        <v>244</v>
      </c>
      <c r="B173" s="59" t="s">
        <v>20</v>
      </c>
      <c r="C173" s="3" t="s">
        <v>975</v>
      </c>
      <c r="D173" s="3" t="s">
        <v>976</v>
      </c>
      <c r="E173" s="3" t="s">
        <v>975</v>
      </c>
      <c r="F173" s="3" t="s">
        <v>977</v>
      </c>
      <c r="G173" s="3" t="s">
        <v>1000</v>
      </c>
      <c r="H173" s="3" t="s">
        <v>1005</v>
      </c>
      <c r="I173" s="3" t="s">
        <v>973</v>
      </c>
      <c r="J173" s="13" t="s">
        <v>974</v>
      </c>
    </row>
    <row r="174" spans="1:10" x14ac:dyDescent="0.2">
      <c r="A174" s="3" t="s">
        <v>247</v>
      </c>
      <c r="B174" s="59" t="s">
        <v>20</v>
      </c>
      <c r="C174" s="3" t="s">
        <v>969</v>
      </c>
      <c r="D174" s="3" t="s">
        <v>970</v>
      </c>
      <c r="E174" s="3" t="s">
        <v>969</v>
      </c>
      <c r="F174" s="3" t="s">
        <v>1071</v>
      </c>
      <c r="G174" s="3" t="s">
        <v>971</v>
      </c>
      <c r="H174" s="3" t="s">
        <v>1005</v>
      </c>
      <c r="I174" s="3" t="s">
        <v>973</v>
      </c>
      <c r="J174" s="13" t="s">
        <v>974</v>
      </c>
    </row>
    <row r="175" spans="1:10" x14ac:dyDescent="0.2">
      <c r="A175" s="3" t="s">
        <v>247</v>
      </c>
      <c r="B175" s="59" t="s">
        <v>20</v>
      </c>
      <c r="C175" s="3" t="s">
        <v>975</v>
      </c>
      <c r="D175" s="3" t="s">
        <v>976</v>
      </c>
      <c r="E175" s="3" t="s">
        <v>975</v>
      </c>
      <c r="F175" s="3" t="s">
        <v>977</v>
      </c>
      <c r="G175" s="3" t="s">
        <v>1037</v>
      </c>
      <c r="H175" s="3" t="s">
        <v>1005</v>
      </c>
      <c r="I175" s="3" t="s">
        <v>973</v>
      </c>
      <c r="J175" s="13" t="s">
        <v>974</v>
      </c>
    </row>
    <row r="176" spans="1:10" x14ac:dyDescent="0.2">
      <c r="A176" s="3" t="s">
        <v>247</v>
      </c>
      <c r="B176" s="59" t="s">
        <v>20</v>
      </c>
      <c r="C176" s="3" t="s">
        <v>975</v>
      </c>
      <c r="D176" s="3" t="s">
        <v>976</v>
      </c>
      <c r="E176" s="3" t="s">
        <v>975</v>
      </c>
      <c r="F176" s="3" t="s">
        <v>977</v>
      </c>
      <c r="G176" s="3" t="s">
        <v>1000</v>
      </c>
      <c r="H176" s="3" t="s">
        <v>1005</v>
      </c>
      <c r="I176" s="3" t="s">
        <v>973</v>
      </c>
      <c r="J176" s="13" t="s">
        <v>974</v>
      </c>
    </row>
    <row r="177" spans="1:10" x14ac:dyDescent="0.2">
      <c r="A177" s="3" t="s">
        <v>250</v>
      </c>
      <c r="B177" s="59" t="s">
        <v>252</v>
      </c>
      <c r="C177" s="3" t="s">
        <v>998</v>
      </c>
      <c r="D177" s="3" t="s">
        <v>970</v>
      </c>
      <c r="E177" s="3" t="s">
        <v>998</v>
      </c>
      <c r="F177" s="3" t="s">
        <v>702</v>
      </c>
      <c r="G177" s="3" t="s">
        <v>971</v>
      </c>
      <c r="I177" s="3" t="s">
        <v>982</v>
      </c>
      <c r="J177" s="13" t="s">
        <v>974</v>
      </c>
    </row>
    <row r="178" spans="1:10" x14ac:dyDescent="0.2">
      <c r="A178" s="3" t="s">
        <v>254</v>
      </c>
      <c r="B178" s="59" t="s">
        <v>208</v>
      </c>
      <c r="C178" s="3" t="s">
        <v>208</v>
      </c>
      <c r="D178" s="3" t="s">
        <v>981</v>
      </c>
      <c r="E178" s="3" t="s">
        <v>975</v>
      </c>
      <c r="F178" s="3" t="s">
        <v>977</v>
      </c>
      <c r="G178" s="3" t="s">
        <v>971</v>
      </c>
      <c r="I178" s="3" t="s">
        <v>982</v>
      </c>
    </row>
    <row r="179" spans="1:10" x14ac:dyDescent="0.2">
      <c r="A179" s="3" t="s">
        <v>1038</v>
      </c>
      <c r="B179" s="59" t="s">
        <v>261</v>
      </c>
      <c r="C179" s="3" t="s">
        <v>121</v>
      </c>
      <c r="D179" s="3" t="s">
        <v>1008</v>
      </c>
      <c r="E179" s="85" t="s">
        <v>1320</v>
      </c>
      <c r="F179" s="85" t="s">
        <v>1321</v>
      </c>
      <c r="G179" s="3" t="s">
        <v>971</v>
      </c>
      <c r="I179" s="3" t="s">
        <v>973</v>
      </c>
    </row>
    <row r="180" spans="1:10" x14ac:dyDescent="0.2">
      <c r="A180" s="3" t="s">
        <v>264</v>
      </c>
      <c r="B180" s="59" t="s">
        <v>20</v>
      </c>
      <c r="C180" s="3" t="s">
        <v>975</v>
      </c>
      <c r="D180" s="3" t="s">
        <v>976</v>
      </c>
      <c r="E180" s="3" t="s">
        <v>975</v>
      </c>
      <c r="F180" s="3" t="s">
        <v>977</v>
      </c>
      <c r="G180" s="3" t="s">
        <v>971</v>
      </c>
      <c r="H180" s="3" t="s">
        <v>1005</v>
      </c>
      <c r="I180" s="3" t="s">
        <v>973</v>
      </c>
      <c r="J180" s="13" t="s">
        <v>974</v>
      </c>
    </row>
    <row r="181" spans="1:10" x14ac:dyDescent="0.2">
      <c r="A181" s="3" t="s">
        <v>267</v>
      </c>
      <c r="B181" s="59" t="s">
        <v>20</v>
      </c>
      <c r="C181" s="3" t="s">
        <v>975</v>
      </c>
      <c r="D181" s="3" t="s">
        <v>976</v>
      </c>
      <c r="E181" s="3" t="s">
        <v>975</v>
      </c>
      <c r="F181" s="3" t="s">
        <v>977</v>
      </c>
      <c r="G181" s="3" t="s">
        <v>1000</v>
      </c>
      <c r="H181" s="3" t="s">
        <v>1005</v>
      </c>
      <c r="I181" s="3" t="s">
        <v>973</v>
      </c>
      <c r="J181" s="13" t="s">
        <v>974</v>
      </c>
    </row>
    <row r="182" spans="1:10" x14ac:dyDescent="0.2">
      <c r="A182" s="3" t="s">
        <v>269</v>
      </c>
      <c r="B182" s="59" t="s">
        <v>20</v>
      </c>
      <c r="C182" s="3" t="s">
        <v>975</v>
      </c>
      <c r="D182" s="3" t="s">
        <v>976</v>
      </c>
      <c r="E182" s="3" t="s">
        <v>975</v>
      </c>
      <c r="F182" s="3" t="s">
        <v>977</v>
      </c>
      <c r="G182" s="3" t="s">
        <v>1000</v>
      </c>
      <c r="H182" s="3" t="s">
        <v>1005</v>
      </c>
      <c r="I182" s="3" t="s">
        <v>973</v>
      </c>
      <c r="J182" s="13" t="s">
        <v>974</v>
      </c>
    </row>
    <row r="183" spans="1:10" x14ac:dyDescent="0.2">
      <c r="A183" s="3" t="s">
        <v>271</v>
      </c>
      <c r="B183" s="59" t="s">
        <v>20</v>
      </c>
      <c r="C183" s="3" t="s">
        <v>975</v>
      </c>
      <c r="D183" s="3" t="s">
        <v>976</v>
      </c>
      <c r="E183" s="3" t="s">
        <v>975</v>
      </c>
      <c r="F183" s="3" t="s">
        <v>977</v>
      </c>
      <c r="G183" s="3" t="s">
        <v>971</v>
      </c>
      <c r="I183" s="3" t="s">
        <v>973</v>
      </c>
      <c r="J183" s="13" t="s">
        <v>974</v>
      </c>
    </row>
    <row r="184" spans="1:10" x14ac:dyDescent="0.2">
      <c r="A184" s="3" t="s">
        <v>271</v>
      </c>
      <c r="B184" s="59" t="s">
        <v>59</v>
      </c>
      <c r="C184" s="3" t="s">
        <v>975</v>
      </c>
      <c r="D184" s="3" t="s">
        <v>976</v>
      </c>
      <c r="E184" s="3" t="s">
        <v>975</v>
      </c>
      <c r="F184" s="3" t="s">
        <v>977</v>
      </c>
      <c r="G184" s="3" t="s">
        <v>1000</v>
      </c>
      <c r="H184" s="3" t="s">
        <v>1005</v>
      </c>
      <c r="I184" s="3" t="s">
        <v>973</v>
      </c>
      <c r="J184" s="13" t="s">
        <v>974</v>
      </c>
    </row>
    <row r="185" spans="1:10" x14ac:dyDescent="0.2">
      <c r="A185" s="3" t="s">
        <v>274</v>
      </c>
      <c r="B185" s="59" t="s">
        <v>20</v>
      </c>
      <c r="C185" s="3" t="s">
        <v>975</v>
      </c>
      <c r="D185" s="3" t="s">
        <v>976</v>
      </c>
      <c r="E185" s="3" t="s">
        <v>975</v>
      </c>
      <c r="F185" s="3" t="s">
        <v>977</v>
      </c>
      <c r="G185" s="3" t="s">
        <v>971</v>
      </c>
      <c r="H185" s="3" t="s">
        <v>1005</v>
      </c>
      <c r="I185" s="3" t="s">
        <v>973</v>
      </c>
      <c r="J185" s="13" t="s">
        <v>974</v>
      </c>
    </row>
    <row r="186" spans="1:10" x14ac:dyDescent="0.2">
      <c r="A186" s="3" t="s">
        <v>276</v>
      </c>
      <c r="B186" s="59" t="s">
        <v>20</v>
      </c>
      <c r="C186" s="3" t="s">
        <v>975</v>
      </c>
      <c r="D186" s="3" t="s">
        <v>976</v>
      </c>
      <c r="E186" s="3" t="s">
        <v>975</v>
      </c>
      <c r="F186" s="3" t="s">
        <v>977</v>
      </c>
      <c r="G186" s="3" t="s">
        <v>1000</v>
      </c>
      <c r="H186" s="3" t="s">
        <v>1005</v>
      </c>
      <c r="I186" s="3" t="s">
        <v>973</v>
      </c>
      <c r="J186" s="13" t="s">
        <v>974</v>
      </c>
    </row>
    <row r="187" spans="1:10" x14ac:dyDescent="0.2">
      <c r="A187" s="3" t="s">
        <v>278</v>
      </c>
      <c r="B187" s="59" t="s">
        <v>20</v>
      </c>
      <c r="C187" s="3" t="s">
        <v>1039</v>
      </c>
      <c r="D187" s="3" t="s">
        <v>976</v>
      </c>
      <c r="E187" s="3" t="s">
        <v>1040</v>
      </c>
      <c r="F187" s="3" t="s">
        <v>977</v>
      </c>
      <c r="G187" s="3" t="s">
        <v>986</v>
      </c>
      <c r="H187" s="3" t="s">
        <v>1041</v>
      </c>
      <c r="I187" s="3" t="s">
        <v>973</v>
      </c>
      <c r="J187" s="13" t="s">
        <v>974</v>
      </c>
    </row>
    <row r="188" spans="1:10" x14ac:dyDescent="0.2">
      <c r="A188" s="3" t="s">
        <v>278</v>
      </c>
      <c r="B188" s="59" t="s">
        <v>20</v>
      </c>
      <c r="C188" s="3" t="s">
        <v>969</v>
      </c>
      <c r="D188" s="3" t="s">
        <v>970</v>
      </c>
      <c r="E188" s="3" t="s">
        <v>969</v>
      </c>
      <c r="F188" s="3" t="s">
        <v>1071</v>
      </c>
      <c r="G188" s="3" t="s">
        <v>986</v>
      </c>
      <c r="H188" s="3" t="s">
        <v>1041</v>
      </c>
      <c r="I188" s="3" t="s">
        <v>973</v>
      </c>
      <c r="J188" s="13" t="s">
        <v>974</v>
      </c>
    </row>
    <row r="189" spans="1:10" x14ac:dyDescent="0.2">
      <c r="A189" s="3" t="s">
        <v>278</v>
      </c>
      <c r="B189" s="59" t="s">
        <v>20</v>
      </c>
      <c r="C189" s="3" t="s">
        <v>969</v>
      </c>
      <c r="D189" s="3" t="s">
        <v>970</v>
      </c>
      <c r="E189" s="3" t="s">
        <v>969</v>
      </c>
      <c r="F189" s="3" t="s">
        <v>1071</v>
      </c>
      <c r="G189" s="3" t="s">
        <v>995</v>
      </c>
      <c r="H189" s="3" t="s">
        <v>1041</v>
      </c>
      <c r="I189" s="3" t="s">
        <v>973</v>
      </c>
      <c r="J189" s="13" t="s">
        <v>974</v>
      </c>
    </row>
    <row r="190" spans="1:10" x14ac:dyDescent="0.2">
      <c r="A190" s="3" t="s">
        <v>278</v>
      </c>
      <c r="B190" s="59" t="s">
        <v>20</v>
      </c>
      <c r="C190" s="3" t="s">
        <v>1042</v>
      </c>
      <c r="D190" s="3" t="s">
        <v>1012</v>
      </c>
      <c r="E190" s="85" t="s">
        <v>1320</v>
      </c>
      <c r="F190" s="85" t="s">
        <v>1321</v>
      </c>
      <c r="G190" s="3" t="s">
        <v>971</v>
      </c>
      <c r="I190" s="3" t="s">
        <v>973</v>
      </c>
      <c r="J190" s="13" t="s">
        <v>974</v>
      </c>
    </row>
    <row r="191" spans="1:10" x14ac:dyDescent="0.2">
      <c r="A191" s="3" t="s">
        <v>278</v>
      </c>
      <c r="B191" s="59" t="s">
        <v>20</v>
      </c>
      <c r="C191" s="3" t="s">
        <v>975</v>
      </c>
      <c r="D191" s="3" t="s">
        <v>976</v>
      </c>
      <c r="E191" s="3" t="s">
        <v>975</v>
      </c>
      <c r="F191" s="3" t="s">
        <v>977</v>
      </c>
      <c r="G191" s="3" t="s">
        <v>978</v>
      </c>
      <c r="I191" s="3" t="s">
        <v>973</v>
      </c>
      <c r="J191" s="13" t="s">
        <v>974</v>
      </c>
    </row>
    <row r="192" spans="1:10" x14ac:dyDescent="0.2">
      <c r="A192" s="3" t="s">
        <v>278</v>
      </c>
      <c r="B192" s="59" t="s">
        <v>20</v>
      </c>
      <c r="C192" s="3" t="s">
        <v>975</v>
      </c>
      <c r="D192" s="3" t="s">
        <v>976</v>
      </c>
      <c r="E192" s="3" t="s">
        <v>975</v>
      </c>
      <c r="F192" s="3" t="s">
        <v>977</v>
      </c>
      <c r="G192" s="3" t="s">
        <v>979</v>
      </c>
      <c r="I192" s="3" t="s">
        <v>973</v>
      </c>
      <c r="J192" s="13" t="s">
        <v>974</v>
      </c>
    </row>
    <row r="193" spans="1:10" x14ac:dyDescent="0.2">
      <c r="A193" s="3" t="s">
        <v>281</v>
      </c>
      <c r="B193" s="59" t="s">
        <v>20</v>
      </c>
      <c r="C193" s="3" t="s">
        <v>975</v>
      </c>
      <c r="D193" s="3" t="s">
        <v>976</v>
      </c>
      <c r="E193" s="3" t="s">
        <v>975</v>
      </c>
      <c r="F193" s="3" t="s">
        <v>977</v>
      </c>
      <c r="G193" s="3" t="s">
        <v>1000</v>
      </c>
      <c r="H193" s="3" t="s">
        <v>1005</v>
      </c>
      <c r="I193" s="3" t="s">
        <v>973</v>
      </c>
      <c r="J193" s="13" t="s">
        <v>974</v>
      </c>
    </row>
    <row r="194" spans="1:10" x14ac:dyDescent="0.2">
      <c r="A194" s="3" t="s">
        <v>284</v>
      </c>
      <c r="B194" s="59" t="s">
        <v>20</v>
      </c>
      <c r="C194" s="3" t="s">
        <v>975</v>
      </c>
      <c r="D194" s="3" t="s">
        <v>976</v>
      </c>
      <c r="E194" s="3" t="s">
        <v>975</v>
      </c>
      <c r="F194" s="3" t="s">
        <v>977</v>
      </c>
      <c r="G194" s="3" t="s">
        <v>1000</v>
      </c>
      <c r="H194" s="3" t="s">
        <v>1005</v>
      </c>
      <c r="I194" s="3" t="s">
        <v>973</v>
      </c>
      <c r="J194" s="13" t="s">
        <v>974</v>
      </c>
    </row>
    <row r="195" spans="1:10" x14ac:dyDescent="0.2">
      <c r="A195" s="3" t="s">
        <v>284</v>
      </c>
      <c r="B195" s="59" t="s">
        <v>59</v>
      </c>
      <c r="C195" s="3" t="s">
        <v>975</v>
      </c>
      <c r="D195" s="3" t="s">
        <v>976</v>
      </c>
      <c r="E195" s="3" t="s">
        <v>975</v>
      </c>
      <c r="F195" s="3" t="s">
        <v>985</v>
      </c>
      <c r="G195" s="3" t="s">
        <v>1000</v>
      </c>
      <c r="H195" s="3" t="s">
        <v>1005</v>
      </c>
      <c r="I195" s="3" t="s">
        <v>973</v>
      </c>
      <c r="J195" s="13" t="s">
        <v>974</v>
      </c>
    </row>
    <row r="196" spans="1:10" x14ac:dyDescent="0.2">
      <c r="A196" s="3" t="s">
        <v>286</v>
      </c>
      <c r="B196" s="59" t="s">
        <v>63</v>
      </c>
      <c r="C196" s="3" t="s">
        <v>208</v>
      </c>
      <c r="D196" s="3" t="s">
        <v>1764</v>
      </c>
      <c r="E196" s="85" t="s">
        <v>1320</v>
      </c>
      <c r="F196" s="85" t="s">
        <v>1321</v>
      </c>
      <c r="G196" s="3" t="s">
        <v>971</v>
      </c>
      <c r="I196" s="3" t="s">
        <v>982</v>
      </c>
    </row>
    <row r="197" spans="1:10" x14ac:dyDescent="0.2">
      <c r="A197" s="3" t="s">
        <v>289</v>
      </c>
      <c r="B197" s="59" t="s">
        <v>20</v>
      </c>
      <c r="C197" s="3" t="s">
        <v>975</v>
      </c>
      <c r="D197" s="3" t="s">
        <v>976</v>
      </c>
      <c r="E197" s="3" t="s">
        <v>975</v>
      </c>
      <c r="F197" s="3" t="s">
        <v>977</v>
      </c>
      <c r="G197" s="3" t="s">
        <v>1000</v>
      </c>
      <c r="H197" s="3" t="s">
        <v>1005</v>
      </c>
      <c r="I197" s="3" t="s">
        <v>973</v>
      </c>
      <c r="J197" s="13" t="s">
        <v>974</v>
      </c>
    </row>
    <row r="198" spans="1:10" x14ac:dyDescent="0.2">
      <c r="A198" s="3" t="s">
        <v>291</v>
      </c>
      <c r="B198" s="59" t="s">
        <v>45</v>
      </c>
      <c r="C198" s="3" t="s">
        <v>45</v>
      </c>
      <c r="D198" s="3" t="s">
        <v>997</v>
      </c>
      <c r="E198" s="3" t="s">
        <v>998</v>
      </c>
      <c r="F198" s="3" t="s">
        <v>702</v>
      </c>
      <c r="G198" s="3" t="s">
        <v>971</v>
      </c>
      <c r="I198" s="3" t="s">
        <v>973</v>
      </c>
    </row>
    <row r="199" spans="1:10" x14ac:dyDescent="0.2">
      <c r="A199" s="3" t="s">
        <v>296</v>
      </c>
      <c r="B199" s="59" t="s">
        <v>20</v>
      </c>
      <c r="C199" s="3" t="s">
        <v>975</v>
      </c>
      <c r="D199" s="3" t="s">
        <v>976</v>
      </c>
      <c r="E199" s="3" t="s">
        <v>975</v>
      </c>
      <c r="F199" s="3" t="s">
        <v>977</v>
      </c>
      <c r="G199" s="3" t="s">
        <v>1000</v>
      </c>
      <c r="H199" s="3" t="s">
        <v>1005</v>
      </c>
      <c r="I199" s="3" t="s">
        <v>973</v>
      </c>
      <c r="J199" s="13" t="s">
        <v>974</v>
      </c>
    </row>
    <row r="200" spans="1:10" x14ac:dyDescent="0.2">
      <c r="A200" s="3" t="s">
        <v>298</v>
      </c>
      <c r="B200" s="59" t="s">
        <v>252</v>
      </c>
      <c r="C200" s="3" t="s">
        <v>998</v>
      </c>
      <c r="D200" s="3" t="s">
        <v>970</v>
      </c>
      <c r="E200" s="3" t="s">
        <v>998</v>
      </c>
      <c r="F200" s="3" t="s">
        <v>702</v>
      </c>
      <c r="G200" s="3" t="s">
        <v>971</v>
      </c>
      <c r="I200" s="3" t="s">
        <v>973</v>
      </c>
      <c r="J200" s="13" t="s">
        <v>974</v>
      </c>
    </row>
    <row r="201" spans="1:10" x14ac:dyDescent="0.2">
      <c r="A201" s="3" t="s">
        <v>301</v>
      </c>
      <c r="B201" s="59" t="s">
        <v>20</v>
      </c>
      <c r="C201" s="3" t="s">
        <v>975</v>
      </c>
      <c r="D201" s="3" t="s">
        <v>976</v>
      </c>
      <c r="E201" s="3" t="s">
        <v>975</v>
      </c>
      <c r="F201" s="3" t="s">
        <v>977</v>
      </c>
      <c r="G201" s="3" t="s">
        <v>971</v>
      </c>
      <c r="H201" s="3" t="s">
        <v>1005</v>
      </c>
      <c r="I201" s="3" t="s">
        <v>973</v>
      </c>
      <c r="J201" s="13" t="s">
        <v>974</v>
      </c>
    </row>
    <row r="202" spans="1:10" x14ac:dyDescent="0.2">
      <c r="A202" s="3" t="s">
        <v>303</v>
      </c>
      <c r="B202" s="59" t="s">
        <v>356</v>
      </c>
      <c r="C202" s="3" t="s">
        <v>356</v>
      </c>
      <c r="D202" s="3" t="s">
        <v>1043</v>
      </c>
      <c r="E202" s="85" t="s">
        <v>1320</v>
      </c>
      <c r="F202" s="85" t="s">
        <v>1321</v>
      </c>
      <c r="G202" s="3" t="s">
        <v>971</v>
      </c>
      <c r="I202" s="3" t="s">
        <v>982</v>
      </c>
    </row>
    <row r="203" spans="1:10" x14ac:dyDescent="0.2">
      <c r="A203" s="3" t="s">
        <v>303</v>
      </c>
      <c r="B203" s="59" t="s">
        <v>356</v>
      </c>
      <c r="C203" s="3" t="s">
        <v>356</v>
      </c>
      <c r="D203" s="3" t="s">
        <v>1043</v>
      </c>
      <c r="E203" s="85" t="s">
        <v>1320</v>
      </c>
      <c r="F203" s="85" t="s">
        <v>1321</v>
      </c>
      <c r="G203" s="3" t="s">
        <v>971</v>
      </c>
      <c r="I203" s="3" t="s">
        <v>982</v>
      </c>
    </row>
    <row r="204" spans="1:10" x14ac:dyDescent="0.2">
      <c r="A204" s="3" t="s">
        <v>307</v>
      </c>
      <c r="B204" s="59" t="s">
        <v>20</v>
      </c>
      <c r="C204" s="3" t="s">
        <v>975</v>
      </c>
      <c r="D204" s="3" t="s">
        <v>976</v>
      </c>
      <c r="E204" s="3" t="s">
        <v>975</v>
      </c>
      <c r="F204" s="3" t="s">
        <v>977</v>
      </c>
      <c r="G204" s="3" t="s">
        <v>1000</v>
      </c>
      <c r="H204" s="3" t="s">
        <v>1005</v>
      </c>
      <c r="I204" s="3" t="s">
        <v>973</v>
      </c>
      <c r="J204" s="13" t="s">
        <v>974</v>
      </c>
    </row>
    <row r="205" spans="1:10" x14ac:dyDescent="0.2">
      <c r="A205" s="3" t="s">
        <v>310</v>
      </c>
      <c r="B205" s="59" t="s">
        <v>20</v>
      </c>
      <c r="C205" s="3" t="s">
        <v>975</v>
      </c>
      <c r="D205" s="3" t="s">
        <v>976</v>
      </c>
      <c r="E205" s="3" t="s">
        <v>975</v>
      </c>
      <c r="F205" s="3" t="s">
        <v>977</v>
      </c>
      <c r="G205" s="3" t="s">
        <v>971</v>
      </c>
      <c r="H205" s="3" t="s">
        <v>1005</v>
      </c>
      <c r="I205" s="3" t="s">
        <v>973</v>
      </c>
      <c r="J205" s="13" t="s">
        <v>974</v>
      </c>
    </row>
    <row r="206" spans="1:10" x14ac:dyDescent="0.2">
      <c r="A206" s="3" t="s">
        <v>313</v>
      </c>
      <c r="B206" s="59" t="s">
        <v>790</v>
      </c>
      <c r="C206" s="3" t="s">
        <v>208</v>
      </c>
      <c r="D206" s="3" t="s">
        <v>981</v>
      </c>
      <c r="E206" s="3" t="s">
        <v>1002</v>
      </c>
      <c r="I206" s="3" t="s">
        <v>973</v>
      </c>
    </row>
    <row r="207" spans="1:10" x14ac:dyDescent="0.2">
      <c r="A207" s="3" t="s">
        <v>313</v>
      </c>
      <c r="B207" s="59" t="s">
        <v>59</v>
      </c>
      <c r="C207" s="3" t="s">
        <v>975</v>
      </c>
      <c r="D207" s="3" t="s">
        <v>976</v>
      </c>
      <c r="E207" s="3" t="s">
        <v>975</v>
      </c>
      <c r="F207" s="3" t="s">
        <v>977</v>
      </c>
      <c r="G207" s="3" t="s">
        <v>1000</v>
      </c>
      <c r="H207" s="3" t="s">
        <v>1005</v>
      </c>
      <c r="I207" s="3" t="s">
        <v>973</v>
      </c>
      <c r="J207" s="13" t="s">
        <v>974</v>
      </c>
    </row>
    <row r="208" spans="1:10" x14ac:dyDescent="0.2">
      <c r="A208" s="3" t="s">
        <v>313</v>
      </c>
      <c r="B208" s="59" t="s">
        <v>217</v>
      </c>
      <c r="C208" s="3" t="s">
        <v>975</v>
      </c>
      <c r="D208" s="3" t="s">
        <v>976</v>
      </c>
      <c r="E208" s="3" t="s">
        <v>975</v>
      </c>
      <c r="F208" s="3" t="s">
        <v>977</v>
      </c>
      <c r="G208" s="3" t="s">
        <v>1000</v>
      </c>
      <c r="H208" s="3" t="s">
        <v>1005</v>
      </c>
      <c r="I208" s="3" t="s">
        <v>973</v>
      </c>
      <c r="J208" s="13" t="s">
        <v>974</v>
      </c>
    </row>
    <row r="209" spans="1:10" x14ac:dyDescent="0.2">
      <c r="A209" s="3" t="s">
        <v>316</v>
      </c>
      <c r="B209" s="59" t="s">
        <v>318</v>
      </c>
      <c r="C209" s="3" t="s">
        <v>975</v>
      </c>
      <c r="D209" s="3" t="s">
        <v>976</v>
      </c>
      <c r="E209" s="3" t="s">
        <v>975</v>
      </c>
      <c r="F209" s="3" t="s">
        <v>977</v>
      </c>
      <c r="G209" s="3" t="s">
        <v>1000</v>
      </c>
      <c r="H209" s="3" t="s">
        <v>1044</v>
      </c>
      <c r="I209" s="3" t="s">
        <v>973</v>
      </c>
      <c r="J209" s="13" t="s">
        <v>974</v>
      </c>
    </row>
    <row r="210" spans="1:10" x14ac:dyDescent="0.2">
      <c r="A210" s="3" t="s">
        <v>320</v>
      </c>
      <c r="B210" s="59" t="s">
        <v>20</v>
      </c>
      <c r="C210" s="3" t="s">
        <v>975</v>
      </c>
      <c r="D210" s="3" t="s">
        <v>976</v>
      </c>
      <c r="E210" s="3" t="s">
        <v>975</v>
      </c>
      <c r="F210" s="3" t="s">
        <v>977</v>
      </c>
      <c r="G210" s="3" t="s">
        <v>1000</v>
      </c>
      <c r="H210" s="3" t="s">
        <v>1005</v>
      </c>
      <c r="I210" s="3" t="s">
        <v>973</v>
      </c>
      <c r="J210" s="13" t="s">
        <v>974</v>
      </c>
    </row>
    <row r="211" spans="1:10" x14ac:dyDescent="0.2">
      <c r="A211" s="3" t="s">
        <v>322</v>
      </c>
      <c r="B211" s="59" t="s">
        <v>20</v>
      </c>
      <c r="C211" s="3" t="s">
        <v>975</v>
      </c>
      <c r="D211" s="3" t="s">
        <v>976</v>
      </c>
      <c r="E211" s="3" t="s">
        <v>975</v>
      </c>
      <c r="F211" s="3" t="s">
        <v>977</v>
      </c>
      <c r="G211" s="3" t="s">
        <v>1000</v>
      </c>
      <c r="H211" s="3" t="s">
        <v>1005</v>
      </c>
      <c r="I211" s="3" t="s">
        <v>973</v>
      </c>
      <c r="J211" s="13" t="s">
        <v>974</v>
      </c>
    </row>
    <row r="212" spans="1:10" x14ac:dyDescent="0.2">
      <c r="A212" s="3" t="s">
        <v>324</v>
      </c>
      <c r="B212" s="59" t="s">
        <v>139</v>
      </c>
      <c r="C212" s="3" t="s">
        <v>139</v>
      </c>
      <c r="D212" s="3" t="s">
        <v>1045</v>
      </c>
      <c r="E212" s="85" t="s">
        <v>1320</v>
      </c>
      <c r="F212" s="85" t="s">
        <v>1321</v>
      </c>
      <c r="G212" s="3" t="s">
        <v>995</v>
      </c>
      <c r="I212" s="3" t="s">
        <v>973</v>
      </c>
    </row>
    <row r="213" spans="1:10" x14ac:dyDescent="0.2">
      <c r="A213" s="3" t="s">
        <v>328</v>
      </c>
      <c r="B213" s="59" t="s">
        <v>20</v>
      </c>
      <c r="C213" s="3" t="s">
        <v>975</v>
      </c>
      <c r="D213" s="3" t="s">
        <v>976</v>
      </c>
      <c r="E213" s="3" t="s">
        <v>975</v>
      </c>
      <c r="F213" s="3" t="s">
        <v>977</v>
      </c>
      <c r="G213" s="3" t="s">
        <v>971</v>
      </c>
      <c r="H213" s="3" t="s">
        <v>1005</v>
      </c>
      <c r="I213" s="3" t="s">
        <v>973</v>
      </c>
      <c r="J213" s="13" t="s">
        <v>974</v>
      </c>
    </row>
    <row r="214" spans="1:10" x14ac:dyDescent="0.2">
      <c r="A214" s="3" t="s">
        <v>331</v>
      </c>
      <c r="B214" s="59" t="s">
        <v>1046</v>
      </c>
      <c r="C214" s="3" t="s">
        <v>1047</v>
      </c>
      <c r="D214" s="3" t="s">
        <v>1012</v>
      </c>
      <c r="E214" s="85" t="s">
        <v>1320</v>
      </c>
      <c r="F214" s="85" t="s">
        <v>1321</v>
      </c>
      <c r="G214" s="3" t="s">
        <v>995</v>
      </c>
      <c r="I214" s="3" t="s">
        <v>973</v>
      </c>
    </row>
    <row r="215" spans="1:10" x14ac:dyDescent="0.2">
      <c r="A215" s="3" t="s">
        <v>335</v>
      </c>
      <c r="B215" s="59" t="s">
        <v>217</v>
      </c>
      <c r="C215" s="3" t="s">
        <v>975</v>
      </c>
      <c r="D215" s="3" t="s">
        <v>976</v>
      </c>
      <c r="E215" s="3" t="s">
        <v>975</v>
      </c>
      <c r="F215" s="3" t="s">
        <v>977</v>
      </c>
      <c r="G215" s="3" t="s">
        <v>1000</v>
      </c>
      <c r="H215" s="3" t="s">
        <v>1005</v>
      </c>
      <c r="I215" s="3" t="s">
        <v>973</v>
      </c>
      <c r="J215" s="13" t="s">
        <v>974</v>
      </c>
    </row>
    <row r="216" spans="1:10" x14ac:dyDescent="0.2">
      <c r="A216" s="3" t="s">
        <v>338</v>
      </c>
      <c r="B216" s="59" t="s">
        <v>217</v>
      </c>
      <c r="C216" s="3" t="s">
        <v>975</v>
      </c>
      <c r="D216" s="3" t="s">
        <v>976</v>
      </c>
      <c r="E216" s="3" t="s">
        <v>975</v>
      </c>
      <c r="F216" s="3" t="s">
        <v>977</v>
      </c>
      <c r="G216" s="3" t="s">
        <v>1000</v>
      </c>
      <c r="H216" s="3" t="s">
        <v>1005</v>
      </c>
      <c r="I216" s="3" t="s">
        <v>973</v>
      </c>
      <c r="J216" s="13" t="s">
        <v>974</v>
      </c>
    </row>
    <row r="217" spans="1:10" x14ac:dyDescent="0.2">
      <c r="A217" s="3" t="s">
        <v>338</v>
      </c>
      <c r="B217" s="59" t="s">
        <v>59</v>
      </c>
      <c r="C217" s="3" t="s">
        <v>975</v>
      </c>
      <c r="D217" s="3" t="s">
        <v>976</v>
      </c>
      <c r="E217" s="3" t="s">
        <v>975</v>
      </c>
      <c r="F217" s="3" t="s">
        <v>977</v>
      </c>
      <c r="G217" s="3" t="s">
        <v>1000</v>
      </c>
      <c r="H217" s="3" t="s">
        <v>1005</v>
      </c>
      <c r="I217" s="3" t="s">
        <v>973</v>
      </c>
      <c r="J217" s="13" t="s">
        <v>974</v>
      </c>
    </row>
    <row r="218" spans="1:10" x14ac:dyDescent="0.2">
      <c r="A218" s="3" t="s">
        <v>341</v>
      </c>
      <c r="B218" s="59" t="s">
        <v>20</v>
      </c>
      <c r="C218" s="3" t="s">
        <v>975</v>
      </c>
      <c r="D218" s="3" t="s">
        <v>976</v>
      </c>
      <c r="E218" s="3" t="s">
        <v>975</v>
      </c>
      <c r="F218" s="3" t="s">
        <v>977</v>
      </c>
      <c r="G218" s="3" t="s">
        <v>1000</v>
      </c>
      <c r="H218" s="3" t="s">
        <v>1005</v>
      </c>
      <c r="I218" s="3" t="s">
        <v>973</v>
      </c>
      <c r="J218" s="13" t="s">
        <v>974</v>
      </c>
    </row>
    <row r="219" spans="1:10" x14ac:dyDescent="0.2">
      <c r="A219" s="3" t="s">
        <v>341</v>
      </c>
      <c r="B219" s="59" t="s">
        <v>59</v>
      </c>
      <c r="C219" s="3" t="s">
        <v>975</v>
      </c>
      <c r="D219" s="3" t="s">
        <v>976</v>
      </c>
      <c r="E219" s="3" t="s">
        <v>975</v>
      </c>
      <c r="F219" s="3" t="s">
        <v>977</v>
      </c>
      <c r="G219" s="3" t="s">
        <v>1000</v>
      </c>
      <c r="H219" s="3" t="s">
        <v>1005</v>
      </c>
      <c r="I219" s="3" t="s">
        <v>973</v>
      </c>
      <c r="J219" s="13" t="s">
        <v>974</v>
      </c>
    </row>
    <row r="220" spans="1:10" x14ac:dyDescent="0.2">
      <c r="A220" s="3" t="s">
        <v>344</v>
      </c>
      <c r="B220" s="59" t="s">
        <v>20</v>
      </c>
      <c r="C220" s="3" t="s">
        <v>975</v>
      </c>
      <c r="D220" s="3" t="s">
        <v>976</v>
      </c>
      <c r="E220" s="3" t="s">
        <v>975</v>
      </c>
      <c r="F220" s="3" t="s">
        <v>977</v>
      </c>
      <c r="G220" s="3" t="s">
        <v>971</v>
      </c>
      <c r="H220" s="3" t="s">
        <v>1005</v>
      </c>
      <c r="I220" s="3" t="s">
        <v>973</v>
      </c>
      <c r="J220" s="13" t="s">
        <v>974</v>
      </c>
    </row>
    <row r="221" spans="1:10" x14ac:dyDescent="0.2">
      <c r="A221" s="3" t="s">
        <v>348</v>
      </c>
      <c r="B221" s="59" t="s">
        <v>59</v>
      </c>
      <c r="C221" s="3" t="s">
        <v>975</v>
      </c>
      <c r="D221" s="3" t="s">
        <v>976</v>
      </c>
      <c r="E221" s="3" t="s">
        <v>975</v>
      </c>
      <c r="F221" s="3" t="s">
        <v>977</v>
      </c>
      <c r="G221" s="3" t="s">
        <v>1000</v>
      </c>
      <c r="H221" s="3" t="s">
        <v>1005</v>
      </c>
      <c r="I221" s="3" t="s">
        <v>973</v>
      </c>
      <c r="J221" s="13" t="s">
        <v>974</v>
      </c>
    </row>
    <row r="222" spans="1:10" x14ac:dyDescent="0.2">
      <c r="A222" s="3" t="s">
        <v>350</v>
      </c>
      <c r="B222" s="59" t="s">
        <v>20</v>
      </c>
      <c r="C222" s="3" t="s">
        <v>975</v>
      </c>
      <c r="D222" s="3" t="s">
        <v>976</v>
      </c>
      <c r="E222" s="3" t="s">
        <v>975</v>
      </c>
      <c r="F222" s="3" t="s">
        <v>977</v>
      </c>
      <c r="G222" s="3" t="s">
        <v>1000</v>
      </c>
      <c r="H222" s="3" t="s">
        <v>1005</v>
      </c>
      <c r="I222" s="3" t="s">
        <v>973</v>
      </c>
      <c r="J222" s="13" t="s">
        <v>974</v>
      </c>
    </row>
    <row r="223" spans="1:10" x14ac:dyDescent="0.2">
      <c r="A223" s="3" t="s">
        <v>352</v>
      </c>
      <c r="B223" s="59" t="s">
        <v>20</v>
      </c>
      <c r="C223" s="3" t="s">
        <v>975</v>
      </c>
      <c r="D223" s="3" t="s">
        <v>976</v>
      </c>
      <c r="E223" s="3" t="s">
        <v>975</v>
      </c>
      <c r="F223" s="3" t="s">
        <v>977</v>
      </c>
      <c r="G223" s="3" t="s">
        <v>971</v>
      </c>
      <c r="H223" s="3" t="s">
        <v>1005</v>
      </c>
      <c r="I223" s="3" t="s">
        <v>973</v>
      </c>
      <c r="J223" s="13" t="s">
        <v>974</v>
      </c>
    </row>
    <row r="224" spans="1:10" x14ac:dyDescent="0.2">
      <c r="A224" s="3" t="s">
        <v>354</v>
      </c>
      <c r="B224" s="59" t="s">
        <v>356</v>
      </c>
      <c r="C224" s="3" t="s">
        <v>356</v>
      </c>
      <c r="D224" s="3" t="s">
        <v>997</v>
      </c>
      <c r="E224" s="85" t="s">
        <v>1320</v>
      </c>
      <c r="F224" s="85" t="s">
        <v>1321</v>
      </c>
      <c r="G224" s="3" t="s">
        <v>971</v>
      </c>
      <c r="I224" s="3" t="s">
        <v>982</v>
      </c>
    </row>
    <row r="225" spans="1:10" x14ac:dyDescent="0.2">
      <c r="A225" s="3" t="s">
        <v>358</v>
      </c>
      <c r="B225" s="59" t="s">
        <v>609</v>
      </c>
      <c r="C225" s="3" t="s">
        <v>208</v>
      </c>
      <c r="D225" s="3" t="s">
        <v>981</v>
      </c>
      <c r="E225" s="85" t="s">
        <v>1320</v>
      </c>
      <c r="F225" s="85" t="s">
        <v>1321</v>
      </c>
      <c r="G225" s="3" t="s">
        <v>971</v>
      </c>
      <c r="I225" s="3" t="s">
        <v>982</v>
      </c>
    </row>
    <row r="226" spans="1:10" x14ac:dyDescent="0.2">
      <c r="A226" s="3" t="s">
        <v>362</v>
      </c>
      <c r="B226" s="59" t="s">
        <v>356</v>
      </c>
      <c r="C226" s="3" t="s">
        <v>356</v>
      </c>
      <c r="D226" s="3" t="s">
        <v>997</v>
      </c>
      <c r="E226" s="85" t="s">
        <v>1320</v>
      </c>
      <c r="F226" s="85" t="s">
        <v>1321</v>
      </c>
      <c r="G226" s="3" t="s">
        <v>971</v>
      </c>
      <c r="I226" s="3" t="s">
        <v>982</v>
      </c>
    </row>
    <row r="227" spans="1:10" x14ac:dyDescent="0.2">
      <c r="A227" s="3" t="s">
        <v>365</v>
      </c>
      <c r="B227" s="59" t="s">
        <v>20</v>
      </c>
      <c r="C227" s="3" t="s">
        <v>975</v>
      </c>
      <c r="D227" s="3" t="s">
        <v>976</v>
      </c>
      <c r="E227" s="3" t="s">
        <v>975</v>
      </c>
      <c r="F227" s="3" t="s">
        <v>977</v>
      </c>
      <c r="G227" s="3" t="s">
        <v>1000</v>
      </c>
      <c r="H227" s="3" t="s">
        <v>1005</v>
      </c>
      <c r="I227" s="3" t="s">
        <v>973</v>
      </c>
      <c r="J227" s="13" t="s">
        <v>974</v>
      </c>
    </row>
    <row r="228" spans="1:10" x14ac:dyDescent="0.2">
      <c r="A228" s="3" t="s">
        <v>365</v>
      </c>
      <c r="B228" s="59" t="s">
        <v>59</v>
      </c>
      <c r="C228" s="3" t="s">
        <v>975</v>
      </c>
      <c r="D228" s="3" t="s">
        <v>976</v>
      </c>
      <c r="E228" s="3" t="s">
        <v>975</v>
      </c>
      <c r="F228" s="3" t="s">
        <v>977</v>
      </c>
      <c r="G228" s="3" t="s">
        <v>1000</v>
      </c>
      <c r="H228" s="3" t="s">
        <v>1005</v>
      </c>
      <c r="I228" s="3" t="s">
        <v>973</v>
      </c>
      <c r="J228" s="13" t="s">
        <v>974</v>
      </c>
    </row>
    <row r="229" spans="1:10" x14ac:dyDescent="0.2">
      <c r="A229" s="3" t="s">
        <v>365</v>
      </c>
      <c r="B229" s="59" t="s">
        <v>217</v>
      </c>
      <c r="C229" s="3" t="s">
        <v>975</v>
      </c>
      <c r="D229" s="3" t="s">
        <v>976</v>
      </c>
      <c r="E229" s="3" t="s">
        <v>975</v>
      </c>
      <c r="F229" s="3" t="s">
        <v>977</v>
      </c>
      <c r="G229" s="3" t="s">
        <v>1000</v>
      </c>
      <c r="H229" s="3" t="s">
        <v>1005</v>
      </c>
      <c r="I229" s="3" t="s">
        <v>973</v>
      </c>
      <c r="J229" s="13" t="s">
        <v>974</v>
      </c>
    </row>
    <row r="230" spans="1:10" x14ac:dyDescent="0.2">
      <c r="A230" s="3" t="s">
        <v>368</v>
      </c>
      <c r="B230" s="59" t="s">
        <v>208</v>
      </c>
      <c r="C230" s="3" t="s">
        <v>975</v>
      </c>
      <c r="D230" s="3" t="s">
        <v>976</v>
      </c>
      <c r="E230" s="3" t="s">
        <v>975</v>
      </c>
      <c r="F230" s="3" t="s">
        <v>977</v>
      </c>
      <c r="G230" s="3" t="s">
        <v>971</v>
      </c>
      <c r="H230" s="3" t="s">
        <v>1048</v>
      </c>
      <c r="I230" s="3" t="s">
        <v>973</v>
      </c>
      <c r="J230" s="13" t="s">
        <v>974</v>
      </c>
    </row>
    <row r="231" spans="1:10" x14ac:dyDescent="0.2">
      <c r="A231" s="3" t="s">
        <v>371</v>
      </c>
      <c r="B231" s="59" t="s">
        <v>447</v>
      </c>
      <c r="C231" s="3" t="s">
        <v>208</v>
      </c>
      <c r="D231" s="3" t="s">
        <v>1763</v>
      </c>
      <c r="E231" s="3" t="s">
        <v>1002</v>
      </c>
      <c r="F231" s="3" t="s">
        <v>1036</v>
      </c>
      <c r="G231" s="3" t="s">
        <v>995</v>
      </c>
      <c r="I231" s="3" t="s">
        <v>973</v>
      </c>
    </row>
    <row r="232" spans="1:10" x14ac:dyDescent="0.2">
      <c r="A232" s="3" t="s">
        <v>371</v>
      </c>
      <c r="B232" s="59" t="s">
        <v>59</v>
      </c>
      <c r="C232" s="3" t="s">
        <v>975</v>
      </c>
      <c r="D232" s="3" t="s">
        <v>976</v>
      </c>
      <c r="E232" s="3" t="s">
        <v>975</v>
      </c>
      <c r="F232" s="3" t="s">
        <v>977</v>
      </c>
      <c r="G232" s="3" t="s">
        <v>1000</v>
      </c>
      <c r="H232" s="3" t="s">
        <v>1005</v>
      </c>
      <c r="I232" s="3" t="s">
        <v>973</v>
      </c>
      <c r="J232" s="13" t="s">
        <v>974</v>
      </c>
    </row>
    <row r="233" spans="1:10" x14ac:dyDescent="0.2">
      <c r="A233" s="3" t="s">
        <v>374</v>
      </c>
      <c r="B233" s="59" t="s">
        <v>356</v>
      </c>
      <c r="C233" s="3" t="s">
        <v>356</v>
      </c>
      <c r="D233" s="3" t="s">
        <v>1043</v>
      </c>
      <c r="E233" s="85" t="s">
        <v>1320</v>
      </c>
      <c r="F233" s="85" t="s">
        <v>1321</v>
      </c>
      <c r="G233" s="3" t="s">
        <v>971</v>
      </c>
      <c r="I233" s="3" t="s">
        <v>982</v>
      </c>
    </row>
    <row r="234" spans="1:10" x14ac:dyDescent="0.2">
      <c r="A234" s="3" t="s">
        <v>376</v>
      </c>
      <c r="B234" s="59" t="s">
        <v>20</v>
      </c>
      <c r="C234" s="3" t="s">
        <v>969</v>
      </c>
      <c r="D234" s="3" t="s">
        <v>970</v>
      </c>
      <c r="E234" s="3" t="s">
        <v>969</v>
      </c>
      <c r="F234" s="3" t="s">
        <v>1071</v>
      </c>
      <c r="G234" s="3" t="s">
        <v>971</v>
      </c>
      <c r="H234" s="3" t="s">
        <v>1005</v>
      </c>
      <c r="I234" s="3" t="s">
        <v>973</v>
      </c>
      <c r="J234" s="13" t="s">
        <v>974</v>
      </c>
    </row>
    <row r="235" spans="1:10" x14ac:dyDescent="0.2">
      <c r="A235" s="3" t="s">
        <v>376</v>
      </c>
      <c r="B235" s="59" t="s">
        <v>20</v>
      </c>
      <c r="C235" s="3" t="s">
        <v>975</v>
      </c>
      <c r="D235" s="3" t="s">
        <v>976</v>
      </c>
      <c r="E235" s="3" t="s">
        <v>975</v>
      </c>
      <c r="F235" s="3" t="s">
        <v>977</v>
      </c>
      <c r="G235" s="3" t="s">
        <v>1037</v>
      </c>
      <c r="H235" s="3" t="s">
        <v>1005</v>
      </c>
      <c r="I235" s="3" t="s">
        <v>973</v>
      </c>
      <c r="J235" s="13" t="s">
        <v>974</v>
      </c>
    </row>
    <row r="236" spans="1:10" x14ac:dyDescent="0.2">
      <c r="A236" s="3" t="s">
        <v>376</v>
      </c>
      <c r="B236" s="59" t="s">
        <v>20</v>
      </c>
      <c r="C236" s="3" t="s">
        <v>975</v>
      </c>
      <c r="D236" s="3" t="s">
        <v>976</v>
      </c>
      <c r="E236" s="3" t="s">
        <v>975</v>
      </c>
      <c r="F236" s="3" t="s">
        <v>977</v>
      </c>
      <c r="G236" s="3" t="s">
        <v>1000</v>
      </c>
      <c r="H236" s="3" t="s">
        <v>1005</v>
      </c>
      <c r="I236" s="3" t="s">
        <v>973</v>
      </c>
      <c r="J236" s="13" t="s">
        <v>974</v>
      </c>
    </row>
    <row r="237" spans="1:10" x14ac:dyDescent="0.2">
      <c r="A237" s="3" t="s">
        <v>379</v>
      </c>
      <c r="B237" s="59" t="s">
        <v>208</v>
      </c>
      <c r="C237" s="3" t="s">
        <v>208</v>
      </c>
      <c r="D237" s="3" t="s">
        <v>1763</v>
      </c>
      <c r="E237" s="85" t="s">
        <v>1320</v>
      </c>
      <c r="F237" s="85" t="s">
        <v>1321</v>
      </c>
      <c r="G237" s="3" t="s">
        <v>995</v>
      </c>
      <c r="I237" s="3" t="s">
        <v>973</v>
      </c>
    </row>
    <row r="238" spans="1:10" x14ac:dyDescent="0.2">
      <c r="A238" s="3" t="s">
        <v>383</v>
      </c>
      <c r="B238" s="59" t="s">
        <v>20</v>
      </c>
      <c r="C238" s="3" t="s">
        <v>975</v>
      </c>
      <c r="D238" s="3" t="s">
        <v>976</v>
      </c>
      <c r="E238" s="3" t="s">
        <v>975</v>
      </c>
      <c r="F238" s="3" t="s">
        <v>977</v>
      </c>
      <c r="G238" s="3" t="s">
        <v>1000</v>
      </c>
      <c r="H238" s="3" t="s">
        <v>1005</v>
      </c>
      <c r="I238" s="3" t="s">
        <v>973</v>
      </c>
      <c r="J238" s="13" t="s">
        <v>974</v>
      </c>
    </row>
    <row r="239" spans="1:10" x14ac:dyDescent="0.2">
      <c r="A239" s="3" t="s">
        <v>385</v>
      </c>
      <c r="B239" s="59" t="s">
        <v>20</v>
      </c>
      <c r="C239" s="3" t="s">
        <v>975</v>
      </c>
      <c r="D239" s="3" t="s">
        <v>976</v>
      </c>
      <c r="E239" s="3" t="s">
        <v>975</v>
      </c>
      <c r="F239" s="3" t="s">
        <v>977</v>
      </c>
      <c r="G239" s="3" t="s">
        <v>1000</v>
      </c>
      <c r="H239" s="3" t="s">
        <v>1005</v>
      </c>
      <c r="I239" s="3" t="s">
        <v>973</v>
      </c>
      <c r="J239" s="13" t="s">
        <v>974</v>
      </c>
    </row>
    <row r="240" spans="1:10" x14ac:dyDescent="0.2">
      <c r="A240" s="3" t="s">
        <v>387</v>
      </c>
      <c r="B240" s="59" t="s">
        <v>208</v>
      </c>
      <c r="C240" s="3" t="s">
        <v>208</v>
      </c>
      <c r="D240" s="3" t="s">
        <v>1764</v>
      </c>
      <c r="E240" s="3" t="s">
        <v>1002</v>
      </c>
      <c r="I240" s="3" t="s">
        <v>973</v>
      </c>
    </row>
    <row r="241" spans="1:10" x14ac:dyDescent="0.2">
      <c r="A241" s="3" t="s">
        <v>387</v>
      </c>
      <c r="B241" s="59" t="s">
        <v>20</v>
      </c>
      <c r="C241" s="3" t="s">
        <v>969</v>
      </c>
      <c r="D241" s="3" t="s">
        <v>970</v>
      </c>
      <c r="E241" s="3" t="s">
        <v>969</v>
      </c>
      <c r="F241" s="3" t="s">
        <v>1071</v>
      </c>
      <c r="G241" s="3" t="s">
        <v>971</v>
      </c>
      <c r="H241" s="3" t="s">
        <v>1005</v>
      </c>
      <c r="I241" s="3" t="s">
        <v>973</v>
      </c>
      <c r="J241" s="13" t="s">
        <v>974</v>
      </c>
    </row>
    <row r="242" spans="1:10" x14ac:dyDescent="0.2">
      <c r="A242" s="3" t="s">
        <v>387</v>
      </c>
      <c r="B242" s="59" t="s">
        <v>20</v>
      </c>
      <c r="C242" s="3" t="s">
        <v>975</v>
      </c>
      <c r="D242" s="3" t="s">
        <v>976</v>
      </c>
      <c r="E242" s="3" t="s">
        <v>975</v>
      </c>
      <c r="F242" s="3" t="s">
        <v>977</v>
      </c>
      <c r="G242" s="3" t="s">
        <v>1000</v>
      </c>
      <c r="H242" s="3" t="s">
        <v>1005</v>
      </c>
      <c r="I242" s="3" t="s">
        <v>973</v>
      </c>
      <c r="J242" s="13" t="s">
        <v>974</v>
      </c>
    </row>
    <row r="243" spans="1:10" x14ac:dyDescent="0.2">
      <c r="A243" s="3" t="s">
        <v>390</v>
      </c>
      <c r="B243" s="59" t="s">
        <v>318</v>
      </c>
      <c r="C243" s="3" t="s">
        <v>975</v>
      </c>
      <c r="D243" s="3" t="s">
        <v>976</v>
      </c>
      <c r="E243" s="3" t="s">
        <v>975</v>
      </c>
      <c r="F243" s="3" t="s">
        <v>977</v>
      </c>
      <c r="G243" s="3" t="s">
        <v>1049</v>
      </c>
      <c r="I243" s="3" t="s">
        <v>973</v>
      </c>
      <c r="J243" s="13" t="s">
        <v>974</v>
      </c>
    </row>
    <row r="244" spans="1:10" x14ac:dyDescent="0.2">
      <c r="A244" s="3" t="s">
        <v>393</v>
      </c>
      <c r="B244" s="59" t="s">
        <v>20</v>
      </c>
      <c r="C244" s="3" t="s">
        <v>969</v>
      </c>
      <c r="D244" s="3" t="s">
        <v>970</v>
      </c>
      <c r="E244" s="3" t="s">
        <v>969</v>
      </c>
      <c r="F244" s="3" t="s">
        <v>1071</v>
      </c>
      <c r="G244" s="3" t="s">
        <v>971</v>
      </c>
      <c r="H244" s="3" t="s">
        <v>1005</v>
      </c>
      <c r="I244" s="3" t="s">
        <v>973</v>
      </c>
      <c r="J244" s="13" t="s">
        <v>974</v>
      </c>
    </row>
    <row r="245" spans="1:10" x14ac:dyDescent="0.2">
      <c r="A245" s="3" t="s">
        <v>393</v>
      </c>
      <c r="B245" s="59" t="s">
        <v>20</v>
      </c>
      <c r="C245" s="3" t="s">
        <v>975</v>
      </c>
      <c r="D245" s="3" t="s">
        <v>976</v>
      </c>
      <c r="E245" s="3" t="s">
        <v>975</v>
      </c>
      <c r="F245" s="3" t="s">
        <v>977</v>
      </c>
      <c r="G245" s="3" t="s">
        <v>1000</v>
      </c>
      <c r="H245" s="3" t="s">
        <v>1005</v>
      </c>
      <c r="I245" s="3" t="s">
        <v>973</v>
      </c>
      <c r="J245" s="13" t="s">
        <v>974</v>
      </c>
    </row>
    <row r="246" spans="1:10" x14ac:dyDescent="0.2">
      <c r="A246" s="3" t="s">
        <v>393</v>
      </c>
      <c r="B246" s="59" t="s">
        <v>59</v>
      </c>
      <c r="C246" s="3" t="s">
        <v>975</v>
      </c>
      <c r="D246" s="3" t="s">
        <v>976</v>
      </c>
      <c r="E246" s="3" t="s">
        <v>975</v>
      </c>
      <c r="F246" s="3" t="s">
        <v>977</v>
      </c>
      <c r="G246" s="3" t="s">
        <v>1000</v>
      </c>
      <c r="H246" s="3" t="s">
        <v>1005</v>
      </c>
      <c r="I246" s="3" t="s">
        <v>973</v>
      </c>
      <c r="J246" s="13" t="s">
        <v>974</v>
      </c>
    </row>
    <row r="247" spans="1:10" x14ac:dyDescent="0.2">
      <c r="A247" s="3" t="s">
        <v>397</v>
      </c>
      <c r="B247" s="59" t="s">
        <v>20</v>
      </c>
      <c r="C247" s="3" t="s">
        <v>975</v>
      </c>
      <c r="D247" s="3" t="s">
        <v>976</v>
      </c>
      <c r="E247" s="3" t="s">
        <v>975</v>
      </c>
      <c r="F247" s="3" t="s">
        <v>977</v>
      </c>
      <c r="G247" s="3" t="s">
        <v>971</v>
      </c>
      <c r="H247" s="3" t="s">
        <v>1005</v>
      </c>
      <c r="I247" s="3" t="s">
        <v>973</v>
      </c>
      <c r="J247" s="13" t="s">
        <v>974</v>
      </c>
    </row>
    <row r="248" spans="1:10" x14ac:dyDescent="0.2">
      <c r="A248" s="3" t="s">
        <v>400</v>
      </c>
      <c r="B248" s="59" t="s">
        <v>20</v>
      </c>
      <c r="C248" s="3" t="s">
        <v>975</v>
      </c>
      <c r="D248" s="3" t="s">
        <v>976</v>
      </c>
      <c r="E248" s="3" t="s">
        <v>975</v>
      </c>
      <c r="F248" s="3" t="s">
        <v>977</v>
      </c>
      <c r="G248" s="3" t="s">
        <v>1000</v>
      </c>
      <c r="H248" s="3" t="s">
        <v>1005</v>
      </c>
      <c r="I248" s="3" t="s">
        <v>973</v>
      </c>
      <c r="J248" s="13" t="s">
        <v>974</v>
      </c>
    </row>
    <row r="249" spans="1:10" x14ac:dyDescent="0.2">
      <c r="A249" s="3" t="s">
        <v>403</v>
      </c>
      <c r="B249" s="59" t="s">
        <v>20</v>
      </c>
      <c r="C249" s="3" t="s">
        <v>969</v>
      </c>
      <c r="D249" s="3" t="s">
        <v>970</v>
      </c>
      <c r="E249" s="3" t="s">
        <v>969</v>
      </c>
      <c r="F249" s="3" t="s">
        <v>1071</v>
      </c>
      <c r="G249" s="3" t="s">
        <v>971</v>
      </c>
      <c r="H249" s="3" t="s">
        <v>1005</v>
      </c>
      <c r="I249" s="3" t="s">
        <v>973</v>
      </c>
      <c r="J249" s="13" t="s">
        <v>974</v>
      </c>
    </row>
    <row r="250" spans="1:10" x14ac:dyDescent="0.2">
      <c r="A250" s="3" t="s">
        <v>403</v>
      </c>
      <c r="B250" s="59" t="s">
        <v>217</v>
      </c>
      <c r="C250" s="3" t="s">
        <v>975</v>
      </c>
      <c r="D250" s="3" t="s">
        <v>976</v>
      </c>
      <c r="E250" s="3" t="s">
        <v>975</v>
      </c>
      <c r="F250" s="3" t="s">
        <v>977</v>
      </c>
      <c r="G250" s="3" t="s">
        <v>1000</v>
      </c>
      <c r="H250" s="3" t="s">
        <v>1005</v>
      </c>
      <c r="I250" s="3" t="s">
        <v>973</v>
      </c>
      <c r="J250" s="13" t="s">
        <v>974</v>
      </c>
    </row>
    <row r="251" spans="1:10" x14ac:dyDescent="0.2">
      <c r="A251" s="3" t="s">
        <v>403</v>
      </c>
      <c r="B251" s="59" t="s">
        <v>59</v>
      </c>
      <c r="C251" s="3" t="s">
        <v>975</v>
      </c>
      <c r="D251" s="3" t="s">
        <v>976</v>
      </c>
      <c r="E251" s="3" t="s">
        <v>975</v>
      </c>
      <c r="F251" s="3" t="s">
        <v>977</v>
      </c>
      <c r="G251" s="3" t="s">
        <v>1000</v>
      </c>
      <c r="H251" s="3" t="s">
        <v>1005</v>
      </c>
      <c r="I251" s="3" t="s">
        <v>973</v>
      </c>
      <c r="J251" s="13" t="s">
        <v>974</v>
      </c>
    </row>
    <row r="252" spans="1:10" x14ac:dyDescent="0.2">
      <c r="A252" s="3" t="s">
        <v>405</v>
      </c>
      <c r="B252" s="59" t="s">
        <v>407</v>
      </c>
      <c r="C252" s="3" t="s">
        <v>1050</v>
      </c>
      <c r="D252" s="3" t="s">
        <v>1008</v>
      </c>
      <c r="E252" s="3" t="s">
        <v>975</v>
      </c>
      <c r="F252" s="3" t="s">
        <v>977</v>
      </c>
      <c r="G252" s="3" t="s">
        <v>971</v>
      </c>
      <c r="I252" s="3" t="s">
        <v>973</v>
      </c>
    </row>
    <row r="253" spans="1:10" x14ac:dyDescent="0.2">
      <c r="A253" s="3" t="s">
        <v>408</v>
      </c>
      <c r="B253" s="59" t="s">
        <v>20</v>
      </c>
      <c r="C253" s="3" t="s">
        <v>969</v>
      </c>
      <c r="D253" s="3" t="s">
        <v>970</v>
      </c>
      <c r="E253" s="3" t="s">
        <v>969</v>
      </c>
      <c r="F253" s="3" t="s">
        <v>1071</v>
      </c>
      <c r="G253" s="3" t="s">
        <v>971</v>
      </c>
      <c r="H253" s="3" t="s">
        <v>1005</v>
      </c>
      <c r="I253" s="3" t="s">
        <v>973</v>
      </c>
      <c r="J253" s="13" t="s">
        <v>974</v>
      </c>
    </row>
    <row r="254" spans="1:10" x14ac:dyDescent="0.2">
      <c r="A254" s="3" t="s">
        <v>408</v>
      </c>
      <c r="B254" s="59" t="s">
        <v>20</v>
      </c>
      <c r="C254" s="3" t="s">
        <v>975</v>
      </c>
      <c r="D254" s="3" t="s">
        <v>976</v>
      </c>
      <c r="E254" s="3" t="s">
        <v>975</v>
      </c>
      <c r="F254" s="3" t="s">
        <v>977</v>
      </c>
      <c r="G254" s="3" t="s">
        <v>1037</v>
      </c>
      <c r="H254" s="3" t="s">
        <v>1005</v>
      </c>
      <c r="I254" s="3" t="s">
        <v>973</v>
      </c>
      <c r="J254" s="13" t="s">
        <v>974</v>
      </c>
    </row>
    <row r="255" spans="1:10" x14ac:dyDescent="0.2">
      <c r="A255" s="3" t="s">
        <v>408</v>
      </c>
      <c r="B255" s="59" t="s">
        <v>59</v>
      </c>
      <c r="C255" s="3" t="s">
        <v>975</v>
      </c>
      <c r="D255" s="3" t="s">
        <v>976</v>
      </c>
      <c r="E255" s="3" t="s">
        <v>975</v>
      </c>
      <c r="F255" s="3" t="s">
        <v>977</v>
      </c>
      <c r="G255" s="3" t="s">
        <v>1000</v>
      </c>
      <c r="H255" s="3" t="s">
        <v>1005</v>
      </c>
      <c r="I255" s="3" t="s">
        <v>973</v>
      </c>
      <c r="J255" s="13" t="s">
        <v>974</v>
      </c>
    </row>
    <row r="256" spans="1:10" x14ac:dyDescent="0.2">
      <c r="A256" s="3" t="s">
        <v>408</v>
      </c>
      <c r="B256" s="59" t="s">
        <v>217</v>
      </c>
      <c r="C256" s="3" t="s">
        <v>975</v>
      </c>
      <c r="D256" s="3" t="s">
        <v>976</v>
      </c>
      <c r="E256" s="3" t="s">
        <v>975</v>
      </c>
      <c r="F256" s="3" t="s">
        <v>977</v>
      </c>
      <c r="G256" s="3" t="s">
        <v>1000</v>
      </c>
      <c r="H256" s="3" t="s">
        <v>1005</v>
      </c>
      <c r="I256" s="3" t="s">
        <v>973</v>
      </c>
      <c r="J256" s="13" t="s">
        <v>974</v>
      </c>
    </row>
    <row r="257" spans="1:10" x14ac:dyDescent="0.2">
      <c r="A257" s="3" t="s">
        <v>408</v>
      </c>
      <c r="B257" s="59" t="s">
        <v>20</v>
      </c>
      <c r="C257" s="3" t="s">
        <v>975</v>
      </c>
      <c r="D257" s="3" t="s">
        <v>976</v>
      </c>
      <c r="E257" s="3" t="s">
        <v>975</v>
      </c>
      <c r="F257" s="3" t="s">
        <v>977</v>
      </c>
      <c r="G257" s="3" t="s">
        <v>1000</v>
      </c>
      <c r="H257" s="3" t="s">
        <v>1005</v>
      </c>
      <c r="I257" s="3" t="s">
        <v>973</v>
      </c>
      <c r="J257" s="13" t="s">
        <v>974</v>
      </c>
    </row>
    <row r="258" spans="1:10" x14ac:dyDescent="0.2">
      <c r="A258" s="3" t="s">
        <v>411</v>
      </c>
      <c r="B258" s="59" t="s">
        <v>20</v>
      </c>
      <c r="C258" s="3" t="s">
        <v>975</v>
      </c>
      <c r="D258" s="3" t="s">
        <v>976</v>
      </c>
      <c r="E258" s="3" t="s">
        <v>975</v>
      </c>
      <c r="F258" s="3" t="s">
        <v>977</v>
      </c>
      <c r="G258" s="3" t="s">
        <v>1000</v>
      </c>
      <c r="H258" s="3" t="s">
        <v>1005</v>
      </c>
      <c r="I258" s="3" t="s">
        <v>973</v>
      </c>
      <c r="J258" s="13" t="s">
        <v>974</v>
      </c>
    </row>
    <row r="260" spans="1:10" x14ac:dyDescent="0.2">
      <c r="A260" s="14" t="s">
        <v>414</v>
      </c>
      <c r="B260" s="60"/>
      <c r="C260" s="15"/>
      <c r="D260" s="15"/>
      <c r="E260" s="15"/>
      <c r="F260" s="15"/>
      <c r="G260" s="15"/>
      <c r="H260" s="15"/>
      <c r="I260" s="15"/>
      <c r="J260" s="16"/>
    </row>
    <row r="261" spans="1:10" x14ac:dyDescent="0.2">
      <c r="A261" s="3" t="s">
        <v>415</v>
      </c>
      <c r="B261" s="59" t="s">
        <v>52</v>
      </c>
      <c r="C261" s="3" t="s">
        <v>987</v>
      </c>
      <c r="D261" s="3" t="s">
        <v>988</v>
      </c>
      <c r="E261" s="3" t="s">
        <v>76</v>
      </c>
      <c r="F261" s="3" t="s">
        <v>989</v>
      </c>
      <c r="G261" s="3" t="s">
        <v>971</v>
      </c>
      <c r="H261" s="3" t="s">
        <v>972</v>
      </c>
      <c r="I261" s="3" t="s">
        <v>973</v>
      </c>
      <c r="J261" s="13" t="s">
        <v>974</v>
      </c>
    </row>
    <row r="262" spans="1:10" x14ac:dyDescent="0.2">
      <c r="A262" s="3" t="s">
        <v>415</v>
      </c>
      <c r="B262" s="59" t="s">
        <v>52</v>
      </c>
      <c r="C262" s="3" t="s">
        <v>990</v>
      </c>
      <c r="D262" s="3" t="s">
        <v>991</v>
      </c>
      <c r="E262" s="3" t="s">
        <v>76</v>
      </c>
      <c r="F262" s="3" t="s">
        <v>989</v>
      </c>
      <c r="G262" s="3" t="s">
        <v>971</v>
      </c>
      <c r="H262" s="3" t="s">
        <v>972</v>
      </c>
      <c r="I262" s="3" t="s">
        <v>973</v>
      </c>
      <c r="J262" s="13" t="s">
        <v>974</v>
      </c>
    </row>
    <row r="263" spans="1:10" x14ac:dyDescent="0.2">
      <c r="A263" s="3" t="s">
        <v>415</v>
      </c>
      <c r="B263" s="59" t="s">
        <v>52</v>
      </c>
      <c r="C263" s="3" t="s">
        <v>992</v>
      </c>
      <c r="D263" s="3" t="s">
        <v>993</v>
      </c>
      <c r="E263" s="3" t="s">
        <v>992</v>
      </c>
      <c r="F263" s="3" t="s">
        <v>994</v>
      </c>
      <c r="G263" s="3" t="s">
        <v>986</v>
      </c>
      <c r="H263" s="3" t="s">
        <v>972</v>
      </c>
      <c r="I263" s="3" t="s">
        <v>973</v>
      </c>
      <c r="J263" s="13" t="s">
        <v>974</v>
      </c>
    </row>
    <row r="264" spans="1:10" x14ac:dyDescent="0.2">
      <c r="A264" s="3" t="s">
        <v>415</v>
      </c>
      <c r="B264" s="59" t="s">
        <v>52</v>
      </c>
      <c r="C264" s="3" t="s">
        <v>992</v>
      </c>
      <c r="D264" s="3" t="s">
        <v>993</v>
      </c>
      <c r="E264" s="3" t="s">
        <v>992</v>
      </c>
      <c r="F264" s="3" t="s">
        <v>994</v>
      </c>
      <c r="G264" s="3" t="s">
        <v>995</v>
      </c>
      <c r="H264" s="3" t="s">
        <v>972</v>
      </c>
      <c r="I264" s="3" t="s">
        <v>973</v>
      </c>
      <c r="J264" s="13" t="s">
        <v>974</v>
      </c>
    </row>
    <row r="265" spans="1:10" x14ac:dyDescent="0.2">
      <c r="A265" s="3" t="s">
        <v>415</v>
      </c>
      <c r="B265" s="59" t="s">
        <v>52</v>
      </c>
      <c r="C265" s="3" t="s">
        <v>975</v>
      </c>
      <c r="D265" s="3" t="s">
        <v>976</v>
      </c>
      <c r="E265" s="3" t="s">
        <v>975</v>
      </c>
      <c r="F265" s="3" t="s">
        <v>994</v>
      </c>
      <c r="G265" s="3" t="s">
        <v>986</v>
      </c>
      <c r="H265" s="3" t="s">
        <v>972</v>
      </c>
      <c r="I265" s="3" t="s">
        <v>973</v>
      </c>
      <c r="J265" s="13" t="s">
        <v>974</v>
      </c>
    </row>
    <row r="266" spans="1:10" x14ac:dyDescent="0.2">
      <c r="A266" s="3" t="s">
        <v>415</v>
      </c>
      <c r="B266" s="59" t="s">
        <v>52</v>
      </c>
      <c r="C266" s="3" t="s">
        <v>975</v>
      </c>
      <c r="D266" s="3" t="s">
        <v>976</v>
      </c>
      <c r="E266" s="3" t="s">
        <v>975</v>
      </c>
      <c r="F266" s="3" t="s">
        <v>994</v>
      </c>
      <c r="G266" s="3" t="s">
        <v>995</v>
      </c>
      <c r="H266" s="3" t="s">
        <v>972</v>
      </c>
      <c r="I266" s="3" t="s">
        <v>973</v>
      </c>
      <c r="J266" s="13" t="s">
        <v>974</v>
      </c>
    </row>
    <row r="267" spans="1:10" x14ac:dyDescent="0.2">
      <c r="A267" s="3" t="s">
        <v>418</v>
      </c>
      <c r="B267" s="59" t="s">
        <v>132</v>
      </c>
      <c r="C267" s="3" t="s">
        <v>1020</v>
      </c>
      <c r="D267" s="3" t="s">
        <v>1051</v>
      </c>
      <c r="E267" s="3" t="s">
        <v>76</v>
      </c>
      <c r="F267" s="3" t="s">
        <v>989</v>
      </c>
      <c r="G267" s="3" t="s">
        <v>1021</v>
      </c>
      <c r="I267" s="3" t="s">
        <v>973</v>
      </c>
    </row>
    <row r="268" spans="1:10" x14ac:dyDescent="0.2">
      <c r="A268" s="3" t="s">
        <v>421</v>
      </c>
      <c r="B268" s="59" t="s">
        <v>132</v>
      </c>
      <c r="C268" s="3" t="s">
        <v>1020</v>
      </c>
      <c r="D268" s="3" t="s">
        <v>1051</v>
      </c>
      <c r="E268" s="3" t="s">
        <v>76</v>
      </c>
      <c r="F268" s="3" t="s">
        <v>989</v>
      </c>
      <c r="G268" s="3" t="s">
        <v>1021</v>
      </c>
      <c r="I268" s="3" t="s">
        <v>973</v>
      </c>
    </row>
    <row r="269" spans="1:10" x14ac:dyDescent="0.2">
      <c r="A269" s="3" t="s">
        <v>424</v>
      </c>
      <c r="B269" s="59" t="s">
        <v>20</v>
      </c>
      <c r="C269" s="3" t="s">
        <v>969</v>
      </c>
      <c r="D269" s="3" t="s">
        <v>970</v>
      </c>
      <c r="E269" s="3" t="s">
        <v>969</v>
      </c>
      <c r="F269" s="3" t="s">
        <v>1071</v>
      </c>
      <c r="G269" s="3" t="s">
        <v>971</v>
      </c>
      <c r="H269" s="3" t="s">
        <v>972</v>
      </c>
      <c r="I269" s="3" t="s">
        <v>973</v>
      </c>
      <c r="J269" s="13" t="s">
        <v>974</v>
      </c>
    </row>
    <row r="270" spans="1:10" x14ac:dyDescent="0.2">
      <c r="A270" s="3" t="s">
        <v>424</v>
      </c>
      <c r="B270" s="59" t="s">
        <v>20</v>
      </c>
      <c r="C270" s="3" t="s">
        <v>975</v>
      </c>
      <c r="D270" s="3" t="s">
        <v>976</v>
      </c>
      <c r="E270" s="3" t="s">
        <v>975</v>
      </c>
      <c r="F270" s="3" t="s">
        <v>977</v>
      </c>
      <c r="G270" s="3" t="s">
        <v>978</v>
      </c>
      <c r="H270" s="3" t="s">
        <v>972</v>
      </c>
      <c r="I270" s="3" t="s">
        <v>973</v>
      </c>
      <c r="J270" s="13" t="s">
        <v>974</v>
      </c>
    </row>
    <row r="271" spans="1:10" x14ac:dyDescent="0.2">
      <c r="A271" s="3" t="s">
        <v>424</v>
      </c>
      <c r="B271" s="59" t="s">
        <v>20</v>
      </c>
      <c r="C271" s="3" t="s">
        <v>975</v>
      </c>
      <c r="D271" s="3" t="s">
        <v>976</v>
      </c>
      <c r="E271" s="3" t="s">
        <v>975</v>
      </c>
      <c r="F271" s="3" t="s">
        <v>977</v>
      </c>
      <c r="G271" s="3" t="s">
        <v>979</v>
      </c>
      <c r="H271" s="3" t="s">
        <v>972</v>
      </c>
      <c r="I271" s="3" t="s">
        <v>973</v>
      </c>
      <c r="J271" s="13" t="s">
        <v>974</v>
      </c>
    </row>
    <row r="272" spans="1:10" x14ac:dyDescent="0.2">
      <c r="A272" s="3" t="s">
        <v>427</v>
      </c>
      <c r="B272" s="59" t="s">
        <v>20</v>
      </c>
      <c r="C272" s="3" t="s">
        <v>975</v>
      </c>
      <c r="D272" s="3" t="s">
        <v>976</v>
      </c>
      <c r="E272" s="3" t="s">
        <v>975</v>
      </c>
      <c r="F272" s="3" t="s">
        <v>977</v>
      </c>
      <c r="G272" s="3" t="s">
        <v>1000</v>
      </c>
      <c r="H272" s="3" t="s">
        <v>972</v>
      </c>
      <c r="I272" s="3" t="s">
        <v>973</v>
      </c>
      <c r="J272" s="13" t="s">
        <v>974</v>
      </c>
    </row>
    <row r="273" spans="1:10" x14ac:dyDescent="0.2">
      <c r="A273" s="3" t="s">
        <v>430</v>
      </c>
      <c r="B273" s="59" t="s">
        <v>59</v>
      </c>
      <c r="C273" s="3" t="s">
        <v>975</v>
      </c>
      <c r="D273" s="3" t="s">
        <v>976</v>
      </c>
      <c r="E273" s="3" t="s">
        <v>975</v>
      </c>
      <c r="F273" s="3" t="s">
        <v>977</v>
      </c>
      <c r="G273" s="3" t="s">
        <v>1000</v>
      </c>
      <c r="H273" s="3" t="s">
        <v>1005</v>
      </c>
      <c r="I273" s="3" t="s">
        <v>973</v>
      </c>
      <c r="J273" s="13" t="s">
        <v>974</v>
      </c>
    </row>
    <row r="274" spans="1:10" x14ac:dyDescent="0.2">
      <c r="A274" s="3" t="s">
        <v>434</v>
      </c>
      <c r="B274" s="59" t="s">
        <v>20</v>
      </c>
      <c r="C274" s="3" t="s">
        <v>969</v>
      </c>
      <c r="D274" s="3" t="s">
        <v>970</v>
      </c>
      <c r="E274" s="3" t="s">
        <v>969</v>
      </c>
      <c r="F274" s="3" t="s">
        <v>1071</v>
      </c>
      <c r="G274" s="3" t="s">
        <v>971</v>
      </c>
      <c r="H274" s="3" t="s">
        <v>972</v>
      </c>
      <c r="I274" s="3" t="s">
        <v>973</v>
      </c>
      <c r="J274" s="13" t="s">
        <v>974</v>
      </c>
    </row>
    <row r="275" spans="1:10" x14ac:dyDescent="0.2">
      <c r="A275" s="3" t="s">
        <v>434</v>
      </c>
      <c r="B275" s="59" t="s">
        <v>20</v>
      </c>
      <c r="C275" s="3" t="s">
        <v>969</v>
      </c>
      <c r="D275" s="3" t="s">
        <v>970</v>
      </c>
      <c r="E275" s="3" t="s">
        <v>969</v>
      </c>
      <c r="F275" s="3" t="s">
        <v>1071</v>
      </c>
      <c r="G275" s="3" t="s">
        <v>971</v>
      </c>
      <c r="H275" s="3" t="s">
        <v>1052</v>
      </c>
      <c r="I275" s="3" t="s">
        <v>973</v>
      </c>
      <c r="J275" s="13" t="s">
        <v>974</v>
      </c>
    </row>
    <row r="276" spans="1:10" x14ac:dyDescent="0.2">
      <c r="A276" s="3" t="s">
        <v>434</v>
      </c>
      <c r="B276" s="59" t="s">
        <v>20</v>
      </c>
      <c r="C276" s="3" t="s">
        <v>969</v>
      </c>
      <c r="D276" s="3" t="s">
        <v>970</v>
      </c>
      <c r="E276" s="3" t="s">
        <v>969</v>
      </c>
      <c r="F276" s="3" t="s">
        <v>1071</v>
      </c>
      <c r="G276" s="3" t="s">
        <v>971</v>
      </c>
      <c r="H276" s="3" t="s">
        <v>1005</v>
      </c>
      <c r="I276" s="3" t="s">
        <v>973</v>
      </c>
      <c r="J276" s="13" t="s">
        <v>974</v>
      </c>
    </row>
    <row r="277" spans="1:10" x14ac:dyDescent="0.2">
      <c r="A277" s="3" t="s">
        <v>434</v>
      </c>
      <c r="B277" s="59" t="s">
        <v>20</v>
      </c>
      <c r="C277" s="3" t="s">
        <v>975</v>
      </c>
      <c r="D277" s="3" t="s">
        <v>976</v>
      </c>
      <c r="E277" s="3" t="s">
        <v>975</v>
      </c>
      <c r="F277" s="3" t="s">
        <v>977</v>
      </c>
      <c r="G277" s="3" t="s">
        <v>1000</v>
      </c>
      <c r="H277" s="3" t="s">
        <v>972</v>
      </c>
      <c r="I277" s="3" t="s">
        <v>973</v>
      </c>
      <c r="J277" s="13" t="s">
        <v>974</v>
      </c>
    </row>
    <row r="278" spans="1:10" x14ac:dyDescent="0.2">
      <c r="A278" s="3" t="s">
        <v>434</v>
      </c>
      <c r="B278" s="59" t="s">
        <v>20</v>
      </c>
      <c r="C278" s="3" t="s">
        <v>975</v>
      </c>
      <c r="D278" s="3" t="s">
        <v>976</v>
      </c>
      <c r="E278" s="3" t="s">
        <v>975</v>
      </c>
      <c r="F278" s="3" t="s">
        <v>977</v>
      </c>
      <c r="G278" s="3" t="s">
        <v>1000</v>
      </c>
      <c r="H278" s="3" t="s">
        <v>1052</v>
      </c>
      <c r="I278" s="3" t="s">
        <v>973</v>
      </c>
      <c r="J278" s="13" t="s">
        <v>974</v>
      </c>
    </row>
    <row r="279" spans="1:10" x14ac:dyDescent="0.2">
      <c r="A279" s="3" t="s">
        <v>434</v>
      </c>
      <c r="B279" s="59" t="s">
        <v>20</v>
      </c>
      <c r="C279" s="3" t="s">
        <v>975</v>
      </c>
      <c r="D279" s="3" t="s">
        <v>976</v>
      </c>
      <c r="E279" s="3" t="s">
        <v>975</v>
      </c>
      <c r="F279" s="3" t="s">
        <v>977</v>
      </c>
      <c r="G279" s="3" t="s">
        <v>1000</v>
      </c>
      <c r="H279" s="3" t="s">
        <v>1005</v>
      </c>
      <c r="I279" s="3" t="s">
        <v>973</v>
      </c>
      <c r="J279" s="13" t="s">
        <v>974</v>
      </c>
    </row>
    <row r="280" spans="1:10" x14ac:dyDescent="0.2">
      <c r="A280" s="3" t="s">
        <v>434</v>
      </c>
      <c r="B280" s="59" t="s">
        <v>68</v>
      </c>
      <c r="C280" s="3" t="s">
        <v>68</v>
      </c>
      <c r="D280" s="3" t="s">
        <v>997</v>
      </c>
      <c r="E280" s="3" t="s">
        <v>975</v>
      </c>
      <c r="F280" s="3" t="s">
        <v>977</v>
      </c>
      <c r="G280" s="3" t="s">
        <v>986</v>
      </c>
      <c r="I280" s="3" t="s">
        <v>973</v>
      </c>
    </row>
    <row r="281" spans="1:10" x14ac:dyDescent="0.2">
      <c r="A281" s="3" t="s">
        <v>437</v>
      </c>
      <c r="B281" s="59" t="s">
        <v>20</v>
      </c>
      <c r="C281" s="3" t="s">
        <v>969</v>
      </c>
      <c r="D281" s="3" t="s">
        <v>970</v>
      </c>
      <c r="E281" s="3" t="s">
        <v>969</v>
      </c>
      <c r="F281" s="3" t="s">
        <v>1071</v>
      </c>
      <c r="G281" s="3" t="s">
        <v>971</v>
      </c>
      <c r="H281" s="3" t="s">
        <v>972</v>
      </c>
      <c r="I281" s="3" t="s">
        <v>973</v>
      </c>
      <c r="J281" s="13" t="s">
        <v>974</v>
      </c>
    </row>
    <row r="282" spans="1:10" x14ac:dyDescent="0.2">
      <c r="A282" s="3" t="s">
        <v>437</v>
      </c>
      <c r="B282" s="59" t="s">
        <v>20</v>
      </c>
      <c r="C282" s="3" t="s">
        <v>975</v>
      </c>
      <c r="D282" s="3" t="s">
        <v>976</v>
      </c>
      <c r="E282" s="3" t="s">
        <v>975</v>
      </c>
      <c r="F282" s="3" t="s">
        <v>977</v>
      </c>
      <c r="G282" s="3" t="s">
        <v>978</v>
      </c>
      <c r="H282" s="3" t="s">
        <v>972</v>
      </c>
      <c r="I282" s="3" t="s">
        <v>973</v>
      </c>
      <c r="J282" s="13" t="s">
        <v>974</v>
      </c>
    </row>
    <row r="283" spans="1:10" x14ac:dyDescent="0.2">
      <c r="A283" s="3" t="s">
        <v>437</v>
      </c>
      <c r="B283" s="59" t="s">
        <v>20</v>
      </c>
      <c r="C283" s="3" t="s">
        <v>975</v>
      </c>
      <c r="D283" s="3" t="s">
        <v>976</v>
      </c>
      <c r="E283" s="3" t="s">
        <v>975</v>
      </c>
      <c r="F283" s="3" t="s">
        <v>977</v>
      </c>
      <c r="G283" s="3" t="s">
        <v>979</v>
      </c>
      <c r="H283" s="3" t="s">
        <v>972</v>
      </c>
      <c r="I283" s="3" t="s">
        <v>973</v>
      </c>
      <c r="J283" s="13" t="s">
        <v>974</v>
      </c>
    </row>
    <row r="284" spans="1:10" x14ac:dyDescent="0.2">
      <c r="A284" s="3" t="s">
        <v>440</v>
      </c>
      <c r="B284" s="59" t="s">
        <v>31</v>
      </c>
      <c r="C284" s="3" t="s">
        <v>975</v>
      </c>
      <c r="D284" s="3" t="s">
        <v>976</v>
      </c>
      <c r="E284" s="3" t="s">
        <v>975</v>
      </c>
      <c r="F284" s="3" t="s">
        <v>977</v>
      </c>
      <c r="G284" s="3" t="s">
        <v>1000</v>
      </c>
      <c r="H284" s="3" t="s">
        <v>1044</v>
      </c>
      <c r="I284" s="3" t="s">
        <v>973</v>
      </c>
      <c r="J284" s="13" t="s">
        <v>974</v>
      </c>
    </row>
    <row r="285" spans="1:10" x14ac:dyDescent="0.2">
      <c r="A285" s="3" t="s">
        <v>444</v>
      </c>
      <c r="B285" s="59" t="s">
        <v>447</v>
      </c>
      <c r="C285" s="3" t="s">
        <v>208</v>
      </c>
      <c r="D285" s="3" t="s">
        <v>1763</v>
      </c>
      <c r="E285" s="85" t="s">
        <v>1320</v>
      </c>
      <c r="F285" s="85" t="s">
        <v>1321</v>
      </c>
      <c r="G285" s="3" t="s">
        <v>971</v>
      </c>
      <c r="I285" s="3" t="s">
        <v>982</v>
      </c>
    </row>
    <row r="286" spans="1:10" x14ac:dyDescent="0.2">
      <c r="A286" s="3" t="s">
        <v>448</v>
      </c>
      <c r="B286" s="59" t="s">
        <v>451</v>
      </c>
      <c r="C286" s="3" t="s">
        <v>451</v>
      </c>
      <c r="D286" s="3" t="s">
        <v>1012</v>
      </c>
      <c r="E286" s="85" t="s">
        <v>1320</v>
      </c>
      <c r="F286" s="85" t="s">
        <v>1321</v>
      </c>
      <c r="G286" s="3" t="s">
        <v>971</v>
      </c>
      <c r="I286" s="3" t="s">
        <v>973</v>
      </c>
    </row>
    <row r="287" spans="1:10" x14ac:dyDescent="0.2">
      <c r="A287" s="3" t="s">
        <v>453</v>
      </c>
      <c r="B287" s="59" t="s">
        <v>447</v>
      </c>
      <c r="C287" s="3" t="s">
        <v>208</v>
      </c>
      <c r="D287" s="3" t="s">
        <v>1763</v>
      </c>
      <c r="E287" s="85" t="s">
        <v>1320</v>
      </c>
      <c r="F287" s="85" t="s">
        <v>1321</v>
      </c>
      <c r="G287" s="3" t="s">
        <v>971</v>
      </c>
      <c r="I287" s="3" t="s">
        <v>982</v>
      </c>
    </row>
    <row r="289" spans="1:10" x14ac:dyDescent="0.2">
      <c r="A289" s="14" t="s">
        <v>455</v>
      </c>
      <c r="B289" s="60"/>
      <c r="C289" s="15"/>
      <c r="D289" s="15"/>
      <c r="E289" s="15"/>
      <c r="F289" s="15"/>
      <c r="G289" s="15"/>
      <c r="H289" s="15"/>
      <c r="I289" s="15"/>
      <c r="J289" s="16"/>
    </row>
    <row r="290" spans="1:10" x14ac:dyDescent="0.2">
      <c r="A290" s="3" t="s">
        <v>456</v>
      </c>
      <c r="B290" s="59" t="s">
        <v>880</v>
      </c>
      <c r="C290" s="3" t="s">
        <v>1053</v>
      </c>
      <c r="D290" s="3" t="s">
        <v>976</v>
      </c>
      <c r="E290" s="3" t="s">
        <v>975</v>
      </c>
      <c r="F290" s="3" t="s">
        <v>1054</v>
      </c>
      <c r="G290" s="3" t="s">
        <v>1000</v>
      </c>
      <c r="H290" s="3" t="s">
        <v>1055</v>
      </c>
      <c r="I290" s="3" t="s">
        <v>973</v>
      </c>
      <c r="J290" s="13" t="s">
        <v>974</v>
      </c>
    </row>
    <row r="291" spans="1:10" x14ac:dyDescent="0.2">
      <c r="A291" s="3" t="s">
        <v>460</v>
      </c>
      <c r="B291" s="59" t="s">
        <v>1056</v>
      </c>
      <c r="C291" s="3" t="s">
        <v>1053</v>
      </c>
      <c r="D291" s="3" t="s">
        <v>976</v>
      </c>
      <c r="E291" s="3" t="s">
        <v>975</v>
      </c>
      <c r="F291" s="3" t="s">
        <v>1054</v>
      </c>
      <c r="G291" s="3" t="s">
        <v>986</v>
      </c>
      <c r="H291" s="3" t="s">
        <v>1057</v>
      </c>
      <c r="I291" s="3" t="s">
        <v>973</v>
      </c>
      <c r="J291" s="13" t="s">
        <v>974</v>
      </c>
    </row>
    <row r="292" spans="1:10" ht="31" x14ac:dyDescent="0.2">
      <c r="A292" s="3" t="s">
        <v>464</v>
      </c>
      <c r="B292" s="59" t="s">
        <v>1761</v>
      </c>
      <c r="C292" s="3" t="s">
        <v>1047</v>
      </c>
      <c r="D292" s="3" t="s">
        <v>1012</v>
      </c>
      <c r="E292" s="3" t="s">
        <v>975</v>
      </c>
      <c r="F292" s="3" t="s">
        <v>977</v>
      </c>
      <c r="G292" s="3" t="s">
        <v>986</v>
      </c>
      <c r="I292" s="3" t="s">
        <v>973</v>
      </c>
    </row>
    <row r="293" spans="1:10" ht="31" x14ac:dyDescent="0.2">
      <c r="A293" s="3" t="s">
        <v>468</v>
      </c>
      <c r="B293" s="59" t="s">
        <v>1761</v>
      </c>
      <c r="C293" s="3" t="s">
        <v>1047</v>
      </c>
      <c r="D293" s="3" t="s">
        <v>1012</v>
      </c>
      <c r="E293" s="3" t="s">
        <v>975</v>
      </c>
      <c r="F293" s="3" t="s">
        <v>977</v>
      </c>
      <c r="G293" s="3" t="s">
        <v>986</v>
      </c>
      <c r="I293" s="3" t="s">
        <v>973</v>
      </c>
    </row>
    <row r="294" spans="1:10" x14ac:dyDescent="0.2">
      <c r="A294" s="3" t="s">
        <v>470</v>
      </c>
      <c r="B294" s="59" t="s">
        <v>1058</v>
      </c>
      <c r="C294" s="3" t="s">
        <v>1053</v>
      </c>
      <c r="D294" s="3" t="s">
        <v>976</v>
      </c>
      <c r="E294" s="3" t="s">
        <v>975</v>
      </c>
      <c r="F294" s="3" t="s">
        <v>1054</v>
      </c>
      <c r="G294" s="3" t="s">
        <v>986</v>
      </c>
      <c r="H294" s="3" t="s">
        <v>1059</v>
      </c>
      <c r="I294" s="3" t="s">
        <v>973</v>
      </c>
      <c r="J294" s="13" t="s">
        <v>974</v>
      </c>
    </row>
    <row r="295" spans="1:10" x14ac:dyDescent="0.2">
      <c r="A295" s="3" t="s">
        <v>473</v>
      </c>
      <c r="B295" s="59" t="s">
        <v>52</v>
      </c>
      <c r="C295" s="3" t="s">
        <v>987</v>
      </c>
      <c r="D295" s="3" t="s">
        <v>988</v>
      </c>
      <c r="E295" s="3" t="s">
        <v>76</v>
      </c>
      <c r="F295" s="3" t="s">
        <v>989</v>
      </c>
      <c r="G295" s="3" t="s">
        <v>971</v>
      </c>
      <c r="H295" s="3" t="s">
        <v>972</v>
      </c>
      <c r="I295" s="3" t="s">
        <v>973</v>
      </c>
      <c r="J295" s="13" t="s">
        <v>974</v>
      </c>
    </row>
    <row r="296" spans="1:10" x14ac:dyDescent="0.2">
      <c r="A296" s="3" t="s">
        <v>473</v>
      </c>
      <c r="B296" s="59" t="s">
        <v>52</v>
      </c>
      <c r="C296" s="3" t="s">
        <v>990</v>
      </c>
      <c r="D296" s="3" t="s">
        <v>991</v>
      </c>
      <c r="E296" s="3" t="s">
        <v>76</v>
      </c>
      <c r="F296" s="3" t="s">
        <v>989</v>
      </c>
      <c r="G296" s="3" t="s">
        <v>971</v>
      </c>
      <c r="H296" s="3" t="s">
        <v>972</v>
      </c>
      <c r="I296" s="3" t="s">
        <v>973</v>
      </c>
      <c r="J296" s="13" t="s">
        <v>974</v>
      </c>
    </row>
    <row r="297" spans="1:10" x14ac:dyDescent="0.2">
      <c r="A297" s="3" t="s">
        <v>473</v>
      </c>
      <c r="B297" s="59" t="s">
        <v>52</v>
      </c>
      <c r="C297" s="3" t="s">
        <v>992</v>
      </c>
      <c r="D297" s="3" t="s">
        <v>993</v>
      </c>
      <c r="E297" s="3" t="s">
        <v>992</v>
      </c>
      <c r="F297" s="3" t="s">
        <v>994</v>
      </c>
      <c r="G297" s="3" t="s">
        <v>986</v>
      </c>
      <c r="H297" s="3" t="s">
        <v>972</v>
      </c>
      <c r="I297" s="3" t="s">
        <v>973</v>
      </c>
      <c r="J297" s="13" t="s">
        <v>974</v>
      </c>
    </row>
    <row r="298" spans="1:10" x14ac:dyDescent="0.2">
      <c r="A298" s="3" t="s">
        <v>473</v>
      </c>
      <c r="B298" s="59" t="s">
        <v>52</v>
      </c>
      <c r="C298" s="3" t="s">
        <v>992</v>
      </c>
      <c r="D298" s="3" t="s">
        <v>993</v>
      </c>
      <c r="E298" s="3" t="s">
        <v>992</v>
      </c>
      <c r="F298" s="3" t="s">
        <v>994</v>
      </c>
      <c r="G298" s="3" t="s">
        <v>995</v>
      </c>
      <c r="H298" s="3" t="s">
        <v>972</v>
      </c>
      <c r="I298" s="3" t="s">
        <v>973</v>
      </c>
      <c r="J298" s="13" t="s">
        <v>974</v>
      </c>
    </row>
    <row r="299" spans="1:10" x14ac:dyDescent="0.2">
      <c r="A299" s="3" t="s">
        <v>473</v>
      </c>
      <c r="B299" s="59" t="s">
        <v>52</v>
      </c>
      <c r="C299" s="3" t="s">
        <v>975</v>
      </c>
      <c r="D299" s="3" t="s">
        <v>976</v>
      </c>
      <c r="E299" s="3" t="s">
        <v>975</v>
      </c>
      <c r="F299" s="3" t="s">
        <v>994</v>
      </c>
      <c r="G299" s="3" t="s">
        <v>986</v>
      </c>
      <c r="H299" s="3" t="s">
        <v>972</v>
      </c>
      <c r="I299" s="3" t="s">
        <v>973</v>
      </c>
      <c r="J299" s="13" t="s">
        <v>974</v>
      </c>
    </row>
    <row r="300" spans="1:10" x14ac:dyDescent="0.2">
      <c r="A300" s="3" t="s">
        <v>473</v>
      </c>
      <c r="B300" s="59" t="s">
        <v>52</v>
      </c>
      <c r="C300" s="3" t="s">
        <v>975</v>
      </c>
      <c r="D300" s="3" t="s">
        <v>976</v>
      </c>
      <c r="E300" s="3" t="s">
        <v>975</v>
      </c>
      <c r="F300" s="3" t="s">
        <v>994</v>
      </c>
      <c r="G300" s="3" t="s">
        <v>995</v>
      </c>
      <c r="H300" s="3" t="s">
        <v>972</v>
      </c>
      <c r="I300" s="3" t="s">
        <v>973</v>
      </c>
      <c r="J300" s="13" t="s">
        <v>974</v>
      </c>
    </row>
    <row r="301" spans="1:10" x14ac:dyDescent="0.2">
      <c r="A301" s="3" t="s">
        <v>475</v>
      </c>
      <c r="B301" s="59" t="s">
        <v>144</v>
      </c>
      <c r="C301" s="3" t="s">
        <v>1053</v>
      </c>
      <c r="D301" s="3" t="s">
        <v>976</v>
      </c>
      <c r="E301" s="3" t="s">
        <v>975</v>
      </c>
      <c r="F301" s="3" t="s">
        <v>994</v>
      </c>
      <c r="G301" s="3" t="s">
        <v>971</v>
      </c>
      <c r="I301" s="3" t="s">
        <v>973</v>
      </c>
      <c r="J301" s="13" t="s">
        <v>974</v>
      </c>
    </row>
    <row r="302" spans="1:10" x14ac:dyDescent="0.2">
      <c r="A302" s="3" t="s">
        <v>478</v>
      </c>
      <c r="B302" s="59" t="s">
        <v>217</v>
      </c>
      <c r="C302" s="3" t="s">
        <v>975</v>
      </c>
      <c r="D302" s="3" t="s">
        <v>976</v>
      </c>
      <c r="E302" s="3" t="s">
        <v>975</v>
      </c>
      <c r="F302" s="3" t="s">
        <v>994</v>
      </c>
      <c r="G302" s="3" t="s">
        <v>1060</v>
      </c>
      <c r="H302" s="3" t="s">
        <v>1005</v>
      </c>
      <c r="I302" s="3" t="s">
        <v>973</v>
      </c>
      <c r="J302" s="13" t="s">
        <v>974</v>
      </c>
    </row>
    <row r="303" spans="1:10" x14ac:dyDescent="0.2">
      <c r="A303" s="3" t="s">
        <v>1318</v>
      </c>
      <c r="B303" s="59" t="s">
        <v>1058</v>
      </c>
      <c r="C303" s="3" t="s">
        <v>1063</v>
      </c>
      <c r="D303" s="3" t="s">
        <v>976</v>
      </c>
      <c r="E303" s="3" t="s">
        <v>975</v>
      </c>
      <c r="F303" s="3" t="s">
        <v>996</v>
      </c>
      <c r="G303" s="3" t="s">
        <v>971</v>
      </c>
      <c r="H303" s="3" t="s">
        <v>1044</v>
      </c>
      <c r="I303" s="3" t="s">
        <v>973</v>
      </c>
    </row>
    <row r="304" spans="1:10" x14ac:dyDescent="0.2">
      <c r="A304" s="3" t="s">
        <v>482</v>
      </c>
      <c r="B304" s="59" t="s">
        <v>1058</v>
      </c>
      <c r="C304" s="3" t="s">
        <v>1053</v>
      </c>
      <c r="D304" s="3" t="s">
        <v>976</v>
      </c>
      <c r="E304" s="3" t="s">
        <v>975</v>
      </c>
      <c r="F304" s="3" t="s">
        <v>1054</v>
      </c>
      <c r="G304" s="3" t="s">
        <v>1060</v>
      </c>
      <c r="H304" s="3" t="s">
        <v>1005</v>
      </c>
      <c r="I304" s="3" t="s">
        <v>973</v>
      </c>
      <c r="J304" s="13" t="s">
        <v>974</v>
      </c>
    </row>
    <row r="305" spans="1:10" x14ac:dyDescent="0.2">
      <c r="A305" s="3" t="s">
        <v>482</v>
      </c>
      <c r="B305" s="59" t="s">
        <v>217</v>
      </c>
      <c r="C305" s="3" t="s">
        <v>1053</v>
      </c>
      <c r="D305" s="3" t="s">
        <v>976</v>
      </c>
      <c r="E305" s="3" t="s">
        <v>975</v>
      </c>
      <c r="F305" s="3" t="s">
        <v>994</v>
      </c>
      <c r="G305" s="3" t="s">
        <v>971</v>
      </c>
      <c r="H305" s="3" t="s">
        <v>1061</v>
      </c>
      <c r="I305" s="3" t="s">
        <v>973</v>
      </c>
      <c r="J305" s="13" t="s">
        <v>974</v>
      </c>
    </row>
    <row r="306" spans="1:10" x14ac:dyDescent="0.2">
      <c r="A306" s="3" t="s">
        <v>482</v>
      </c>
      <c r="B306" s="59" t="s">
        <v>144</v>
      </c>
      <c r="C306" s="3" t="s">
        <v>1053</v>
      </c>
      <c r="D306" s="3" t="s">
        <v>976</v>
      </c>
      <c r="E306" s="3" t="s">
        <v>975</v>
      </c>
      <c r="F306" s="3" t="s">
        <v>994</v>
      </c>
      <c r="G306" s="3" t="s">
        <v>1060</v>
      </c>
      <c r="H306" s="3" t="s">
        <v>1005</v>
      </c>
      <c r="I306" s="3" t="s">
        <v>973</v>
      </c>
      <c r="J306" s="13" t="s">
        <v>974</v>
      </c>
    </row>
    <row r="307" spans="1:10" x14ac:dyDescent="0.2">
      <c r="A307" s="3" t="s">
        <v>485</v>
      </c>
      <c r="B307" s="59" t="s">
        <v>144</v>
      </c>
      <c r="C307" s="3" t="s">
        <v>1053</v>
      </c>
      <c r="D307" s="3" t="s">
        <v>976</v>
      </c>
      <c r="E307" s="3" t="s">
        <v>975</v>
      </c>
      <c r="F307" s="3" t="s">
        <v>994</v>
      </c>
      <c r="G307" s="3" t="s">
        <v>971</v>
      </c>
      <c r="H307" s="3" t="s">
        <v>1062</v>
      </c>
      <c r="I307" s="3" t="s">
        <v>973</v>
      </c>
      <c r="J307" s="13" t="s">
        <v>974</v>
      </c>
    </row>
    <row r="308" spans="1:10" x14ac:dyDescent="0.2">
      <c r="A308" s="3" t="s">
        <v>488</v>
      </c>
      <c r="B308" s="59" t="s">
        <v>1058</v>
      </c>
      <c r="C308" s="3" t="s">
        <v>1063</v>
      </c>
      <c r="D308" s="3" t="s">
        <v>976</v>
      </c>
      <c r="E308" s="3" t="s">
        <v>975</v>
      </c>
      <c r="F308" s="3" t="s">
        <v>996</v>
      </c>
      <c r="G308" s="3" t="s">
        <v>971</v>
      </c>
      <c r="I308" s="3" t="s">
        <v>973</v>
      </c>
      <c r="J308" s="13" t="s">
        <v>974</v>
      </c>
    </row>
    <row r="309" spans="1:10" x14ac:dyDescent="0.2">
      <c r="A309" s="3" t="s">
        <v>490</v>
      </c>
      <c r="B309" s="59" t="s">
        <v>1058</v>
      </c>
      <c r="C309" s="3" t="s">
        <v>1063</v>
      </c>
      <c r="D309" s="3" t="s">
        <v>976</v>
      </c>
      <c r="E309" s="3" t="s">
        <v>975</v>
      </c>
      <c r="F309" s="3" t="s">
        <v>996</v>
      </c>
      <c r="G309" s="3" t="s">
        <v>971</v>
      </c>
      <c r="I309" s="3" t="s">
        <v>973</v>
      </c>
      <c r="J309" s="13" t="s">
        <v>974</v>
      </c>
    </row>
    <row r="310" spans="1:10" x14ac:dyDescent="0.2">
      <c r="A310" s="3" t="s">
        <v>492</v>
      </c>
      <c r="B310" s="59" t="s">
        <v>217</v>
      </c>
      <c r="C310" s="3" t="s">
        <v>1053</v>
      </c>
      <c r="D310" s="3" t="s">
        <v>976</v>
      </c>
      <c r="E310" s="3" t="s">
        <v>975</v>
      </c>
      <c r="F310" s="3" t="s">
        <v>994</v>
      </c>
      <c r="G310" s="3" t="s">
        <v>1060</v>
      </c>
      <c r="H310" s="3" t="s">
        <v>1005</v>
      </c>
      <c r="I310" s="3" t="s">
        <v>973</v>
      </c>
      <c r="J310" s="13" t="s">
        <v>974</v>
      </c>
    </row>
    <row r="311" spans="1:10" x14ac:dyDescent="0.2">
      <c r="A311" s="3" t="s">
        <v>494</v>
      </c>
      <c r="B311" s="59" t="s">
        <v>880</v>
      </c>
      <c r="C311" s="3" t="s">
        <v>208</v>
      </c>
      <c r="D311" s="3" t="s">
        <v>981</v>
      </c>
      <c r="E311" s="3" t="s">
        <v>975</v>
      </c>
      <c r="F311" s="3" t="s">
        <v>1054</v>
      </c>
      <c r="I311" s="3" t="s">
        <v>982</v>
      </c>
    </row>
    <row r="312" spans="1:10" x14ac:dyDescent="0.2">
      <c r="A312" s="3" t="s">
        <v>497</v>
      </c>
      <c r="B312" s="59" t="s">
        <v>1058</v>
      </c>
      <c r="C312" s="3" t="s">
        <v>975</v>
      </c>
      <c r="D312" s="3" t="s">
        <v>976</v>
      </c>
      <c r="E312" s="3" t="s">
        <v>975</v>
      </c>
      <c r="F312" s="3" t="s">
        <v>1054</v>
      </c>
      <c r="I312" s="3" t="s">
        <v>973</v>
      </c>
      <c r="J312" s="13" t="s">
        <v>974</v>
      </c>
    </row>
    <row r="313" spans="1:10" x14ac:dyDescent="0.2">
      <c r="A313" s="3" t="s">
        <v>497</v>
      </c>
      <c r="B313" s="59" t="s">
        <v>880</v>
      </c>
      <c r="C313" s="3" t="s">
        <v>208</v>
      </c>
      <c r="D313" s="3" t="s">
        <v>981</v>
      </c>
      <c r="E313" s="3" t="s">
        <v>975</v>
      </c>
      <c r="F313" s="3" t="s">
        <v>1054</v>
      </c>
      <c r="I313" s="3" t="s">
        <v>982</v>
      </c>
    </row>
    <row r="314" spans="1:10" x14ac:dyDescent="0.2">
      <c r="A314" s="3" t="s">
        <v>498</v>
      </c>
      <c r="B314" s="59" t="s">
        <v>1762</v>
      </c>
      <c r="C314" s="3" t="s">
        <v>1047</v>
      </c>
      <c r="D314" s="3" t="s">
        <v>1012</v>
      </c>
      <c r="E314" s="3" t="s">
        <v>1064</v>
      </c>
      <c r="F314" s="3" t="s">
        <v>1072</v>
      </c>
      <c r="G314" s="3" t="s">
        <v>971</v>
      </c>
      <c r="I314" s="3" t="s">
        <v>973</v>
      </c>
    </row>
    <row r="315" spans="1:10" x14ac:dyDescent="0.2">
      <c r="A315" s="3" t="s">
        <v>502</v>
      </c>
      <c r="B315" s="59" t="s">
        <v>132</v>
      </c>
      <c r="C315" s="3" t="s">
        <v>1020</v>
      </c>
      <c r="D315" s="3" t="s">
        <v>1051</v>
      </c>
      <c r="E315" s="3" t="s">
        <v>76</v>
      </c>
      <c r="F315" s="3" t="s">
        <v>989</v>
      </c>
      <c r="I315" s="3" t="s">
        <v>973</v>
      </c>
    </row>
    <row r="316" spans="1:10" x14ac:dyDescent="0.2">
      <c r="A316" s="3" t="s">
        <v>502</v>
      </c>
      <c r="B316" s="59" t="s">
        <v>52</v>
      </c>
      <c r="C316" s="3" t="s">
        <v>992</v>
      </c>
      <c r="D316" s="3" t="s">
        <v>993</v>
      </c>
      <c r="E316" s="3" t="s">
        <v>76</v>
      </c>
      <c r="F316" s="3" t="s">
        <v>989</v>
      </c>
      <c r="G316" s="3" t="s">
        <v>971</v>
      </c>
      <c r="H316" s="3" t="s">
        <v>972</v>
      </c>
      <c r="I316" s="3" t="s">
        <v>973</v>
      </c>
      <c r="J316" s="13" t="s">
        <v>974</v>
      </c>
    </row>
    <row r="317" spans="1:10" x14ac:dyDescent="0.2">
      <c r="A317" s="3" t="s">
        <v>502</v>
      </c>
      <c r="B317" s="59" t="s">
        <v>52</v>
      </c>
      <c r="C317" s="3" t="s">
        <v>987</v>
      </c>
      <c r="D317" s="3" t="s">
        <v>988</v>
      </c>
      <c r="E317" s="3" t="s">
        <v>76</v>
      </c>
      <c r="F317" s="3" t="s">
        <v>989</v>
      </c>
      <c r="G317" s="3" t="s">
        <v>971</v>
      </c>
      <c r="H317" s="3" t="s">
        <v>972</v>
      </c>
      <c r="I317" s="3" t="s">
        <v>973</v>
      </c>
      <c r="J317" s="13" t="s">
        <v>974</v>
      </c>
    </row>
    <row r="318" spans="1:10" x14ac:dyDescent="0.2">
      <c r="A318" s="3" t="s">
        <v>502</v>
      </c>
      <c r="B318" s="59" t="s">
        <v>52</v>
      </c>
      <c r="C318" s="3" t="s">
        <v>975</v>
      </c>
      <c r="D318" s="3" t="s">
        <v>976</v>
      </c>
      <c r="E318" s="3" t="s">
        <v>992</v>
      </c>
      <c r="F318" s="3" t="s">
        <v>994</v>
      </c>
      <c r="G318" s="3" t="s">
        <v>986</v>
      </c>
      <c r="H318" s="3" t="s">
        <v>972</v>
      </c>
      <c r="I318" s="3" t="s">
        <v>973</v>
      </c>
      <c r="J318" s="13" t="s">
        <v>974</v>
      </c>
    </row>
    <row r="319" spans="1:10" x14ac:dyDescent="0.2">
      <c r="A319" s="3" t="s">
        <v>502</v>
      </c>
      <c r="B319" s="59" t="s">
        <v>52</v>
      </c>
      <c r="C319" s="3" t="s">
        <v>975</v>
      </c>
      <c r="D319" s="3" t="s">
        <v>976</v>
      </c>
      <c r="E319" s="3" t="s">
        <v>992</v>
      </c>
      <c r="F319" s="3" t="s">
        <v>994</v>
      </c>
      <c r="G319" s="3" t="s">
        <v>995</v>
      </c>
      <c r="H319" s="3" t="s">
        <v>972</v>
      </c>
      <c r="I319" s="3" t="s">
        <v>973</v>
      </c>
      <c r="J319" s="13" t="s">
        <v>974</v>
      </c>
    </row>
    <row r="320" spans="1:10" x14ac:dyDescent="0.2">
      <c r="A320" s="3" t="s">
        <v>502</v>
      </c>
      <c r="B320" s="59" t="s">
        <v>52</v>
      </c>
      <c r="C320" s="3" t="s">
        <v>992</v>
      </c>
      <c r="D320" s="3" t="s">
        <v>993</v>
      </c>
      <c r="E320" s="3" t="s">
        <v>975</v>
      </c>
      <c r="F320" s="3" t="s">
        <v>994</v>
      </c>
      <c r="G320" s="3" t="s">
        <v>986</v>
      </c>
      <c r="H320" s="3" t="s">
        <v>972</v>
      </c>
      <c r="I320" s="3" t="s">
        <v>973</v>
      </c>
      <c r="J320" s="13" t="s">
        <v>974</v>
      </c>
    </row>
    <row r="321" spans="1:10" x14ac:dyDescent="0.2">
      <c r="A321" s="3" t="s">
        <v>506</v>
      </c>
      <c r="B321" s="59" t="s">
        <v>132</v>
      </c>
      <c r="C321" s="3" t="s">
        <v>1020</v>
      </c>
      <c r="D321" s="3" t="s">
        <v>1051</v>
      </c>
      <c r="E321" s="3" t="s">
        <v>76</v>
      </c>
      <c r="F321" s="3" t="s">
        <v>989</v>
      </c>
      <c r="I321" s="3" t="s">
        <v>973</v>
      </c>
    </row>
    <row r="322" spans="1:10" x14ac:dyDescent="0.2">
      <c r="A322" s="3" t="s">
        <v>509</v>
      </c>
      <c r="B322" s="59" t="s">
        <v>983</v>
      </c>
      <c r="C322" s="3" t="s">
        <v>975</v>
      </c>
      <c r="D322" s="3" t="s">
        <v>976</v>
      </c>
      <c r="E322" s="3" t="s">
        <v>975</v>
      </c>
      <c r="F322" s="3" t="s">
        <v>1054</v>
      </c>
      <c r="G322" s="3" t="s">
        <v>986</v>
      </c>
      <c r="H322" s="3" t="s">
        <v>1065</v>
      </c>
      <c r="I322" s="3" t="s">
        <v>973</v>
      </c>
      <c r="J322" s="13" t="s">
        <v>974</v>
      </c>
    </row>
    <row r="323" spans="1:10" x14ac:dyDescent="0.2">
      <c r="A323" s="3" t="s">
        <v>513</v>
      </c>
      <c r="B323" s="59" t="s">
        <v>149</v>
      </c>
      <c r="C323" s="3" t="s">
        <v>208</v>
      </c>
      <c r="D323" s="3" t="s">
        <v>981</v>
      </c>
      <c r="E323" s="3" t="s">
        <v>975</v>
      </c>
      <c r="F323" s="3" t="s">
        <v>1054</v>
      </c>
      <c r="I323" s="3" t="s">
        <v>982</v>
      </c>
    </row>
    <row r="324" spans="1:10" x14ac:dyDescent="0.2">
      <c r="A324" s="3" t="s">
        <v>515</v>
      </c>
      <c r="B324" s="59" t="s">
        <v>132</v>
      </c>
      <c r="C324" s="3" t="s">
        <v>1020</v>
      </c>
      <c r="D324" s="3" t="s">
        <v>1051</v>
      </c>
      <c r="E324" s="3" t="s">
        <v>76</v>
      </c>
      <c r="F324" s="3" t="s">
        <v>989</v>
      </c>
      <c r="I324" s="3" t="s">
        <v>973</v>
      </c>
    </row>
    <row r="325" spans="1:10" x14ac:dyDescent="0.2">
      <c r="A325" s="3" t="s">
        <v>518</v>
      </c>
      <c r="B325" s="59" t="s">
        <v>983</v>
      </c>
      <c r="C325" s="3" t="s">
        <v>1053</v>
      </c>
      <c r="D325" s="3" t="s">
        <v>976</v>
      </c>
      <c r="E325" s="3" t="s">
        <v>975</v>
      </c>
      <c r="F325" s="3" t="s">
        <v>1054</v>
      </c>
      <c r="I325" s="3" t="s">
        <v>973</v>
      </c>
      <c r="J325" s="13" t="s">
        <v>974</v>
      </c>
    </row>
    <row r="326" spans="1:10" x14ac:dyDescent="0.2">
      <c r="A326" s="3" t="s">
        <v>1332</v>
      </c>
      <c r="B326" s="59" t="s">
        <v>1333</v>
      </c>
      <c r="C326" s="49" t="s">
        <v>1334</v>
      </c>
      <c r="D326" s="3" t="s">
        <v>1335</v>
      </c>
      <c r="E326" s="3" t="s">
        <v>1316</v>
      </c>
      <c r="F326" s="3" t="s">
        <v>977</v>
      </c>
      <c r="G326" s="3" t="s">
        <v>995</v>
      </c>
      <c r="I326" s="3" t="s">
        <v>973</v>
      </c>
    </row>
    <row r="327" spans="1:10" x14ac:dyDescent="0.2">
      <c r="A327" s="3" t="s">
        <v>1332</v>
      </c>
      <c r="B327" s="59" t="s">
        <v>68</v>
      </c>
      <c r="C327" s="59" t="s">
        <v>68</v>
      </c>
      <c r="D327" s="3" t="s">
        <v>997</v>
      </c>
      <c r="E327" s="3" t="s">
        <v>975</v>
      </c>
      <c r="F327" s="3" t="s">
        <v>977</v>
      </c>
      <c r="G327" s="3" t="s">
        <v>986</v>
      </c>
      <c r="I327" s="3" t="s">
        <v>982</v>
      </c>
    </row>
    <row r="328" spans="1:10" x14ac:dyDescent="0.2">
      <c r="A328" s="3" t="s">
        <v>521</v>
      </c>
      <c r="B328" s="59" t="s">
        <v>1058</v>
      </c>
      <c r="C328" s="3" t="s">
        <v>1053</v>
      </c>
      <c r="D328" s="3" t="s">
        <v>976</v>
      </c>
      <c r="E328" s="3" t="s">
        <v>975</v>
      </c>
      <c r="F328" s="3" t="s">
        <v>1054</v>
      </c>
      <c r="H328" s="3" t="s">
        <v>1005</v>
      </c>
      <c r="I328" s="3" t="s">
        <v>973</v>
      </c>
      <c r="J328" s="13" t="s">
        <v>974</v>
      </c>
    </row>
    <row r="329" spans="1:10" x14ac:dyDescent="0.2">
      <c r="A329" s="3" t="s">
        <v>521</v>
      </c>
      <c r="B329" s="59" t="s">
        <v>1058</v>
      </c>
      <c r="C329" s="3" t="s">
        <v>1053</v>
      </c>
      <c r="D329" s="3" t="s">
        <v>976</v>
      </c>
      <c r="E329" s="3" t="s">
        <v>975</v>
      </c>
      <c r="F329" s="3" t="s">
        <v>1054</v>
      </c>
      <c r="G329" s="3" t="s">
        <v>1049</v>
      </c>
      <c r="H329" s="3" t="s">
        <v>1005</v>
      </c>
      <c r="I329" s="3" t="s">
        <v>973</v>
      </c>
      <c r="J329" s="13" t="s">
        <v>974</v>
      </c>
    </row>
    <row r="331" spans="1:10" x14ac:dyDescent="0.2">
      <c r="A331" s="14" t="s">
        <v>524</v>
      </c>
      <c r="B331" s="60"/>
      <c r="C331" s="15"/>
      <c r="D331" s="15"/>
      <c r="E331" s="15"/>
      <c r="F331" s="15"/>
      <c r="G331" s="15"/>
      <c r="H331" s="15"/>
      <c r="I331" s="15"/>
      <c r="J331" s="16"/>
    </row>
    <row r="332" spans="1:10" x14ac:dyDescent="0.2">
      <c r="A332" s="3" t="s">
        <v>525</v>
      </c>
      <c r="B332" s="59" t="s">
        <v>20</v>
      </c>
      <c r="C332" s="3" t="s">
        <v>969</v>
      </c>
      <c r="D332" s="3" t="s">
        <v>970</v>
      </c>
      <c r="E332" s="3" t="s">
        <v>969</v>
      </c>
      <c r="F332" s="3" t="s">
        <v>1071</v>
      </c>
      <c r="G332" s="3" t="s">
        <v>971</v>
      </c>
      <c r="I332" s="3" t="s">
        <v>973</v>
      </c>
      <c r="J332" s="13" t="s">
        <v>974</v>
      </c>
    </row>
    <row r="333" spans="1:10" x14ac:dyDescent="0.2">
      <c r="A333" s="3" t="s">
        <v>525</v>
      </c>
      <c r="B333" s="59" t="s">
        <v>1322</v>
      </c>
      <c r="C333" s="3" t="s">
        <v>208</v>
      </c>
      <c r="D333" s="3" t="s">
        <v>981</v>
      </c>
      <c r="E333" s="85" t="s">
        <v>1320</v>
      </c>
      <c r="F333" s="85" t="s">
        <v>1321</v>
      </c>
      <c r="G333" s="3" t="s">
        <v>971</v>
      </c>
      <c r="I333" s="3" t="s">
        <v>982</v>
      </c>
    </row>
    <row r="334" spans="1:10" x14ac:dyDescent="0.2">
      <c r="A334" s="3" t="s">
        <v>525</v>
      </c>
      <c r="B334" s="59" t="s">
        <v>20</v>
      </c>
      <c r="C334" s="3" t="s">
        <v>975</v>
      </c>
      <c r="D334" s="3" t="s">
        <v>976</v>
      </c>
      <c r="E334" s="3" t="s">
        <v>975</v>
      </c>
      <c r="F334" s="3" t="s">
        <v>977</v>
      </c>
      <c r="G334" s="3" t="s">
        <v>1000</v>
      </c>
      <c r="I334" s="3" t="s">
        <v>973</v>
      </c>
      <c r="J334" s="13" t="s">
        <v>974</v>
      </c>
    </row>
    <row r="335" spans="1:10" x14ac:dyDescent="0.2">
      <c r="A335" s="3" t="s">
        <v>528</v>
      </c>
      <c r="B335" s="59" t="s">
        <v>59</v>
      </c>
      <c r="C335" s="3" t="s">
        <v>975</v>
      </c>
      <c r="D335" s="3" t="s">
        <v>976</v>
      </c>
      <c r="E335" s="3" t="s">
        <v>975</v>
      </c>
      <c r="F335" s="3" t="s">
        <v>977</v>
      </c>
      <c r="G335" s="3" t="s">
        <v>1000</v>
      </c>
      <c r="H335" s="3" t="s">
        <v>1005</v>
      </c>
      <c r="I335" s="3" t="s">
        <v>973</v>
      </c>
      <c r="J335" s="13" t="s">
        <v>974</v>
      </c>
    </row>
    <row r="336" spans="1:10" x14ac:dyDescent="0.2">
      <c r="A336" s="3" t="s">
        <v>528</v>
      </c>
      <c r="B336" s="59" t="s">
        <v>20</v>
      </c>
      <c r="C336" s="3" t="s">
        <v>975</v>
      </c>
      <c r="D336" s="3" t="s">
        <v>976</v>
      </c>
      <c r="E336" s="3" t="s">
        <v>975</v>
      </c>
      <c r="F336" s="3" t="s">
        <v>977</v>
      </c>
      <c r="G336" s="3" t="s">
        <v>1066</v>
      </c>
      <c r="H336" s="3" t="s">
        <v>1005</v>
      </c>
      <c r="I336" s="3" t="s">
        <v>973</v>
      </c>
      <c r="J336" s="13" t="s">
        <v>974</v>
      </c>
    </row>
    <row r="337" spans="1:10" x14ac:dyDescent="0.2">
      <c r="A337" s="3" t="s">
        <v>1067</v>
      </c>
      <c r="B337" s="59" t="s">
        <v>59</v>
      </c>
      <c r="C337" s="3" t="s">
        <v>975</v>
      </c>
      <c r="D337" s="3" t="s">
        <v>976</v>
      </c>
      <c r="E337" s="3" t="s">
        <v>975</v>
      </c>
      <c r="F337" s="3" t="s">
        <v>977</v>
      </c>
      <c r="G337" s="3" t="s">
        <v>1000</v>
      </c>
      <c r="H337" s="3" t="s">
        <v>1005</v>
      </c>
      <c r="I337" s="3" t="s">
        <v>973</v>
      </c>
      <c r="J337" s="13" t="s">
        <v>974</v>
      </c>
    </row>
    <row r="338" spans="1:10" x14ac:dyDescent="0.2">
      <c r="A338" s="3" t="s">
        <v>534</v>
      </c>
      <c r="B338" s="59" t="s">
        <v>52</v>
      </c>
      <c r="C338" s="3" t="s">
        <v>987</v>
      </c>
      <c r="D338" s="3" t="s">
        <v>988</v>
      </c>
      <c r="E338" s="3" t="s">
        <v>76</v>
      </c>
      <c r="F338" s="3" t="s">
        <v>989</v>
      </c>
      <c r="G338" s="3" t="s">
        <v>971</v>
      </c>
      <c r="H338" s="3" t="s">
        <v>972</v>
      </c>
      <c r="I338" s="3" t="s">
        <v>973</v>
      </c>
      <c r="J338" s="13" t="s">
        <v>974</v>
      </c>
    </row>
    <row r="339" spans="1:10" x14ac:dyDescent="0.2">
      <c r="A339" s="3" t="s">
        <v>534</v>
      </c>
      <c r="B339" s="59" t="s">
        <v>52</v>
      </c>
      <c r="C339" s="3" t="s">
        <v>990</v>
      </c>
      <c r="D339" s="3" t="s">
        <v>991</v>
      </c>
      <c r="E339" s="3" t="s">
        <v>76</v>
      </c>
      <c r="F339" s="3" t="s">
        <v>989</v>
      </c>
      <c r="G339" s="3" t="s">
        <v>971</v>
      </c>
      <c r="H339" s="3" t="s">
        <v>972</v>
      </c>
      <c r="I339" s="3" t="s">
        <v>973</v>
      </c>
      <c r="J339" s="13" t="s">
        <v>974</v>
      </c>
    </row>
    <row r="340" spans="1:10" x14ac:dyDescent="0.2">
      <c r="A340" s="3" t="s">
        <v>534</v>
      </c>
      <c r="B340" s="59" t="s">
        <v>52</v>
      </c>
      <c r="C340" s="3" t="s">
        <v>992</v>
      </c>
      <c r="D340" s="3" t="s">
        <v>993</v>
      </c>
      <c r="E340" s="3" t="s">
        <v>992</v>
      </c>
      <c r="F340" s="3" t="s">
        <v>994</v>
      </c>
      <c r="G340" s="3" t="s">
        <v>986</v>
      </c>
      <c r="H340" s="3" t="s">
        <v>972</v>
      </c>
      <c r="I340" s="3" t="s">
        <v>973</v>
      </c>
      <c r="J340" s="13" t="s">
        <v>974</v>
      </c>
    </row>
    <row r="341" spans="1:10" x14ac:dyDescent="0.2">
      <c r="A341" s="3" t="s">
        <v>534</v>
      </c>
      <c r="B341" s="59" t="s">
        <v>52</v>
      </c>
      <c r="C341" s="3" t="s">
        <v>992</v>
      </c>
      <c r="D341" s="3" t="s">
        <v>993</v>
      </c>
      <c r="E341" s="3" t="s">
        <v>992</v>
      </c>
      <c r="F341" s="3" t="s">
        <v>994</v>
      </c>
      <c r="G341" s="3" t="s">
        <v>995</v>
      </c>
      <c r="H341" s="3" t="s">
        <v>972</v>
      </c>
      <c r="I341" s="3" t="s">
        <v>973</v>
      </c>
      <c r="J341" s="13" t="s">
        <v>974</v>
      </c>
    </row>
    <row r="342" spans="1:10" x14ac:dyDescent="0.2">
      <c r="A342" s="3" t="s">
        <v>534</v>
      </c>
      <c r="B342" s="59" t="s">
        <v>52</v>
      </c>
      <c r="C342" s="3" t="s">
        <v>975</v>
      </c>
      <c r="D342" s="3" t="s">
        <v>976</v>
      </c>
      <c r="E342" s="3" t="s">
        <v>975</v>
      </c>
      <c r="F342" s="3" t="s">
        <v>994</v>
      </c>
      <c r="G342" s="3" t="s">
        <v>986</v>
      </c>
      <c r="H342" s="3" t="s">
        <v>972</v>
      </c>
      <c r="I342" s="3" t="s">
        <v>973</v>
      </c>
      <c r="J342" s="13" t="s">
        <v>974</v>
      </c>
    </row>
    <row r="343" spans="1:10" x14ac:dyDescent="0.2">
      <c r="A343" s="3" t="s">
        <v>534</v>
      </c>
      <c r="B343" s="59" t="s">
        <v>52</v>
      </c>
      <c r="C343" s="3" t="s">
        <v>975</v>
      </c>
      <c r="D343" s="3" t="s">
        <v>976</v>
      </c>
      <c r="E343" s="3" t="s">
        <v>975</v>
      </c>
      <c r="F343" s="3" t="s">
        <v>994</v>
      </c>
      <c r="G343" s="3" t="s">
        <v>995</v>
      </c>
      <c r="H343" s="3" t="s">
        <v>972</v>
      </c>
      <c r="I343" s="3" t="s">
        <v>973</v>
      </c>
      <c r="J343" s="13" t="s">
        <v>974</v>
      </c>
    </row>
    <row r="344" spans="1:10" x14ac:dyDescent="0.2">
      <c r="A344" s="17" t="s">
        <v>536</v>
      </c>
      <c r="B344" s="61" t="s">
        <v>217</v>
      </c>
      <c r="C344" s="23" t="s">
        <v>1073</v>
      </c>
      <c r="D344" s="23" t="s">
        <v>1074</v>
      </c>
      <c r="E344" s="23" t="s">
        <v>975</v>
      </c>
      <c r="F344" s="23" t="s">
        <v>985</v>
      </c>
      <c r="G344" s="23" t="s">
        <v>986</v>
      </c>
      <c r="H344" s="23"/>
      <c r="I344" s="23" t="s">
        <v>973</v>
      </c>
      <c r="J344" s="24"/>
    </row>
    <row r="346" spans="1:10" ht="13" customHeight="1" x14ac:dyDescent="0.2"/>
  </sheetData>
  <phoneticPr fontId="20" type="noConversion"/>
  <pageMargins left="0.75" right="0.75" top="1" bottom="1" header="0.51180555555555496" footer="0.51180555555555496"/>
  <pageSetup scale="52" firstPageNumber="0" fitToHeight="5" orientation="portrait" horizontalDpi="4294967292" verticalDpi="4294967292"/>
  <extLst>
    <ext xmlns:mx="http://schemas.microsoft.com/office/mac/excel/2008/main" uri="{64002731-A6B0-56B0-2670-7721B7C09600}">
      <mx:PLV Mode="0" OnePage="0" WScale="10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347"/>
  <sheetViews>
    <sheetView workbookViewId="0"/>
  </sheetViews>
  <sheetFormatPr baseColWidth="10" defaultColWidth="11" defaultRowHeight="16" x14ac:dyDescent="0.2"/>
  <cols>
    <col min="1" max="1" width="29.1640625" style="30" customWidth="1"/>
    <col min="2" max="3" width="13.83203125" style="30" bestFit="1" customWidth="1"/>
    <col min="4" max="4" width="12.33203125" style="30" bestFit="1" customWidth="1"/>
    <col min="5" max="5" width="22.1640625" style="30" customWidth="1"/>
    <col min="6" max="6" width="40.33203125" style="34" customWidth="1"/>
    <col min="7" max="7" width="33" style="30" customWidth="1"/>
    <col min="8" max="19" width="11" style="36"/>
    <col min="20" max="16384" width="11" style="35"/>
  </cols>
  <sheetData>
    <row r="1" spans="1:19" s="70" customFormat="1" ht="23" customHeight="1" x14ac:dyDescent="0.25">
      <c r="A1" s="63" t="s">
        <v>1283</v>
      </c>
      <c r="B1" s="63"/>
      <c r="C1" s="63"/>
      <c r="D1" s="63"/>
      <c r="E1" s="63"/>
      <c r="F1" s="68"/>
      <c r="G1" s="63"/>
      <c r="H1" s="69"/>
      <c r="I1" s="69"/>
      <c r="J1" s="69"/>
      <c r="K1" s="69"/>
      <c r="L1" s="69"/>
      <c r="M1" s="69"/>
      <c r="N1" s="69"/>
      <c r="O1" s="69"/>
      <c r="P1" s="69"/>
      <c r="Q1" s="69"/>
      <c r="R1" s="69"/>
      <c r="S1" s="69"/>
    </row>
    <row r="2" spans="1:19" ht="13" customHeight="1" x14ac:dyDescent="0.2">
      <c r="A2" s="28"/>
      <c r="B2" s="28"/>
      <c r="C2" s="28"/>
      <c r="D2" s="28"/>
      <c r="E2" s="28"/>
      <c r="F2" s="53"/>
      <c r="G2" s="28"/>
    </row>
    <row r="3" spans="1:19" ht="13" customHeight="1" x14ac:dyDescent="0.2">
      <c r="A3" s="29" t="s">
        <v>0</v>
      </c>
    </row>
    <row r="4" spans="1:19" ht="13" customHeight="1" x14ac:dyDescent="0.2">
      <c r="A4" s="30" t="s">
        <v>539</v>
      </c>
    </row>
    <row r="5" spans="1:19" ht="13" customHeight="1" x14ac:dyDescent="0.2">
      <c r="A5" s="1" t="s">
        <v>1237</v>
      </c>
    </row>
    <row r="6" spans="1:19" ht="13" customHeight="1" x14ac:dyDescent="0.2">
      <c r="A6" s="28"/>
      <c r="B6" s="28"/>
      <c r="C6" s="28"/>
      <c r="D6" s="28"/>
      <c r="E6" s="28"/>
      <c r="F6" s="53"/>
      <c r="G6" s="28"/>
    </row>
    <row r="7" spans="1:19" ht="13" customHeight="1" x14ac:dyDescent="0.2">
      <c r="A7" s="31" t="s">
        <v>3</v>
      </c>
      <c r="B7" s="31" t="s">
        <v>5</v>
      </c>
      <c r="C7" s="31" t="s">
        <v>6</v>
      </c>
      <c r="D7" s="31" t="s">
        <v>7</v>
      </c>
      <c r="E7" s="31" t="s">
        <v>8</v>
      </c>
      <c r="F7" s="54" t="s">
        <v>14</v>
      </c>
      <c r="G7" s="31" t="s">
        <v>540</v>
      </c>
    </row>
    <row r="8" spans="1:19" s="4" customFormat="1" ht="20" customHeight="1" x14ac:dyDescent="0.15">
      <c r="A8" s="32" t="s">
        <v>15</v>
      </c>
      <c r="B8" s="29"/>
      <c r="C8" s="29"/>
      <c r="D8" s="29"/>
      <c r="E8" s="29"/>
      <c r="F8" s="46"/>
      <c r="G8" s="29"/>
      <c r="H8" s="29"/>
      <c r="I8" s="29"/>
      <c r="J8" s="29"/>
      <c r="K8" s="29"/>
      <c r="L8" s="29"/>
      <c r="M8" s="29"/>
      <c r="N8" s="29"/>
      <c r="O8" s="29"/>
      <c r="P8" s="29"/>
      <c r="Q8" s="29"/>
      <c r="R8" s="29"/>
      <c r="S8" s="29"/>
    </row>
    <row r="9" spans="1:19" x14ac:dyDescent="0.2">
      <c r="A9" s="30" t="s">
        <v>541</v>
      </c>
      <c r="B9" s="38">
        <v>70.63</v>
      </c>
      <c r="C9" s="38">
        <v>-135.91999999999999</v>
      </c>
      <c r="D9" s="30" t="s">
        <v>40</v>
      </c>
      <c r="E9" s="34" t="s">
        <v>52</v>
      </c>
      <c r="F9" s="34" t="s">
        <v>542</v>
      </c>
      <c r="G9" s="30" t="s">
        <v>543</v>
      </c>
    </row>
    <row r="10" spans="1:19" x14ac:dyDescent="0.2">
      <c r="A10" s="30" t="s">
        <v>544</v>
      </c>
      <c r="B10" s="38">
        <v>67.13</v>
      </c>
      <c r="C10" s="38">
        <v>-153.9</v>
      </c>
      <c r="D10" s="30" t="s">
        <v>19</v>
      </c>
      <c r="E10" s="34" t="s">
        <v>20</v>
      </c>
      <c r="F10" s="34" t="s">
        <v>545</v>
      </c>
      <c r="G10" s="30" t="s">
        <v>546</v>
      </c>
    </row>
    <row r="11" spans="1:19" x14ac:dyDescent="0.2">
      <c r="A11" s="30" t="s">
        <v>547</v>
      </c>
      <c r="B11" s="38">
        <v>59.47</v>
      </c>
      <c r="C11" s="38">
        <v>-161.12</v>
      </c>
      <c r="D11" s="30" t="s">
        <v>19</v>
      </c>
      <c r="E11" s="34" t="s">
        <v>68</v>
      </c>
      <c r="F11" s="34" t="s">
        <v>548</v>
      </c>
      <c r="G11" s="30" t="s">
        <v>546</v>
      </c>
    </row>
    <row r="12" spans="1:19" x14ac:dyDescent="0.2">
      <c r="A12" s="36" t="s">
        <v>1101</v>
      </c>
      <c r="B12" s="39">
        <v>71.75</v>
      </c>
      <c r="C12" s="39">
        <v>-124.26667</v>
      </c>
      <c r="D12" s="30" t="s">
        <v>19</v>
      </c>
      <c r="E12" s="34" t="s">
        <v>20</v>
      </c>
      <c r="F12" s="48" t="s">
        <v>1198</v>
      </c>
      <c r="G12" s="36" t="s">
        <v>559</v>
      </c>
    </row>
    <row r="13" spans="1:19" x14ac:dyDescent="0.2">
      <c r="A13" s="36" t="s">
        <v>1104</v>
      </c>
      <c r="B13" s="39">
        <v>72.366669999999999</v>
      </c>
      <c r="C13" s="39">
        <v>-119.83333</v>
      </c>
      <c r="D13" s="30" t="s">
        <v>19</v>
      </c>
      <c r="E13" s="34" t="s">
        <v>20</v>
      </c>
      <c r="F13" s="48" t="s">
        <v>1198</v>
      </c>
      <c r="G13" s="36" t="s">
        <v>559</v>
      </c>
    </row>
    <row r="14" spans="1:19" x14ac:dyDescent="0.2">
      <c r="A14" s="36" t="s">
        <v>1103</v>
      </c>
      <c r="B14" s="39">
        <v>73.533330000000007</v>
      </c>
      <c r="C14" s="39">
        <v>-120.21666999999999</v>
      </c>
      <c r="D14" s="30" t="s">
        <v>19</v>
      </c>
      <c r="E14" s="34" t="s">
        <v>20</v>
      </c>
      <c r="F14" s="48" t="s">
        <v>1198</v>
      </c>
      <c r="G14" s="36" t="s">
        <v>559</v>
      </c>
    </row>
    <row r="15" spans="1:19" x14ac:dyDescent="0.2">
      <c r="A15" s="30" t="s">
        <v>549</v>
      </c>
      <c r="B15" s="38">
        <v>65.216667000000001</v>
      </c>
      <c r="C15" s="38">
        <v>-127.05</v>
      </c>
      <c r="D15" s="30" t="s">
        <v>19</v>
      </c>
      <c r="E15" s="34" t="s">
        <v>20</v>
      </c>
      <c r="F15" s="49" t="s">
        <v>550</v>
      </c>
      <c r="G15" s="33" t="s">
        <v>551</v>
      </c>
    </row>
    <row r="16" spans="1:19" x14ac:dyDescent="0.2">
      <c r="A16" s="30" t="s">
        <v>552</v>
      </c>
      <c r="B16" s="38">
        <v>60.62</v>
      </c>
      <c r="C16" s="38">
        <v>-154.32</v>
      </c>
      <c r="D16" s="30" t="s">
        <v>19</v>
      </c>
      <c r="E16" s="34" t="s">
        <v>20</v>
      </c>
      <c r="F16" s="34" t="s">
        <v>553</v>
      </c>
      <c r="G16" s="30" t="s">
        <v>546</v>
      </c>
    </row>
    <row r="17" spans="1:7" ht="31" x14ac:dyDescent="0.2">
      <c r="A17" s="30" t="s">
        <v>554</v>
      </c>
      <c r="B17" s="38">
        <v>68.44</v>
      </c>
      <c r="C17" s="38">
        <v>-158.83000000000001</v>
      </c>
      <c r="D17" s="30" t="s">
        <v>19</v>
      </c>
      <c r="E17" s="34" t="s">
        <v>1195</v>
      </c>
      <c r="F17" s="34" t="s">
        <v>555</v>
      </c>
      <c r="G17" s="30" t="s">
        <v>556</v>
      </c>
    </row>
    <row r="18" spans="1:7" x14ac:dyDescent="0.2">
      <c r="A18" s="30" t="s">
        <v>560</v>
      </c>
      <c r="B18" s="38">
        <v>68.33</v>
      </c>
      <c r="C18" s="38">
        <v>-146.47999999999999</v>
      </c>
      <c r="D18" s="30" t="s">
        <v>19</v>
      </c>
      <c r="E18" s="34" t="s">
        <v>20</v>
      </c>
      <c r="F18" s="34" t="s">
        <v>561</v>
      </c>
      <c r="G18" s="30" t="s">
        <v>546</v>
      </c>
    </row>
    <row r="19" spans="1:7" ht="31" x14ac:dyDescent="0.2">
      <c r="A19" s="30" t="s">
        <v>562</v>
      </c>
      <c r="B19" s="38">
        <v>68.133332999999993</v>
      </c>
      <c r="C19" s="38">
        <v>-156.033333</v>
      </c>
      <c r="D19" s="30" t="s">
        <v>19</v>
      </c>
      <c r="E19" s="34" t="s">
        <v>20</v>
      </c>
      <c r="F19" s="34" t="s">
        <v>1271</v>
      </c>
      <c r="G19" s="30" t="s">
        <v>556</v>
      </c>
    </row>
    <row r="20" spans="1:7" x14ac:dyDescent="0.2">
      <c r="A20" s="30" t="s">
        <v>564</v>
      </c>
      <c r="B20" s="38">
        <v>60.97</v>
      </c>
      <c r="C20" s="38">
        <v>-149.08000000000001</v>
      </c>
      <c r="D20" s="30" t="s">
        <v>305</v>
      </c>
      <c r="E20" s="34" t="s">
        <v>20</v>
      </c>
      <c r="F20" s="34" t="s">
        <v>565</v>
      </c>
      <c r="G20" s="30" t="s">
        <v>559</v>
      </c>
    </row>
    <row r="21" spans="1:7" x14ac:dyDescent="0.2">
      <c r="A21" s="30" t="s">
        <v>566</v>
      </c>
      <c r="B21" s="38">
        <v>64.866667000000007</v>
      </c>
      <c r="C21" s="38">
        <v>-166.26666700000001</v>
      </c>
      <c r="D21" s="30" t="s">
        <v>19</v>
      </c>
      <c r="E21" s="34" t="s">
        <v>20</v>
      </c>
      <c r="F21" s="49" t="s">
        <v>1359</v>
      </c>
      <c r="G21" s="30" t="s">
        <v>546</v>
      </c>
    </row>
    <row r="22" spans="1:7" x14ac:dyDescent="0.2">
      <c r="A22" s="30" t="s">
        <v>567</v>
      </c>
      <c r="B22" s="38">
        <v>60.26</v>
      </c>
      <c r="C22" s="38">
        <v>-149.91</v>
      </c>
      <c r="D22" s="30" t="s">
        <v>19</v>
      </c>
      <c r="E22" s="34" t="s">
        <v>68</v>
      </c>
      <c r="F22" s="34" t="s">
        <v>568</v>
      </c>
      <c r="G22" s="30" t="s">
        <v>559</v>
      </c>
    </row>
    <row r="23" spans="1:7" x14ac:dyDescent="0.2">
      <c r="A23" s="30" t="s">
        <v>569</v>
      </c>
      <c r="B23" s="38">
        <v>62.708833333333303</v>
      </c>
      <c r="C23" s="38">
        <v>-144.197666666667</v>
      </c>
      <c r="D23" s="30" t="s">
        <v>19</v>
      </c>
      <c r="E23" s="34" t="s">
        <v>570</v>
      </c>
      <c r="F23" s="34" t="s">
        <v>1197</v>
      </c>
      <c r="G23" s="30" t="s">
        <v>559</v>
      </c>
    </row>
    <row r="24" spans="1:7" x14ac:dyDescent="0.2">
      <c r="A24" s="30" t="s">
        <v>571</v>
      </c>
      <c r="B24" s="38">
        <v>62.35</v>
      </c>
      <c r="C24" s="38">
        <v>-138.35</v>
      </c>
      <c r="D24" s="30" t="s">
        <v>19</v>
      </c>
      <c r="E24" s="34" t="s">
        <v>59</v>
      </c>
      <c r="F24" s="34" t="s">
        <v>572</v>
      </c>
      <c r="G24" s="30" t="s">
        <v>546</v>
      </c>
    </row>
    <row r="25" spans="1:7" x14ac:dyDescent="0.2">
      <c r="A25" s="30" t="s">
        <v>573</v>
      </c>
      <c r="B25" s="38">
        <v>64.444444000000004</v>
      </c>
      <c r="C25" s="38">
        <v>-146.9075</v>
      </c>
      <c r="D25" s="30" t="s">
        <v>19</v>
      </c>
      <c r="E25" s="34" t="s">
        <v>20</v>
      </c>
      <c r="F25" s="34" t="s">
        <v>574</v>
      </c>
      <c r="G25" s="30" t="s">
        <v>556</v>
      </c>
    </row>
    <row r="26" spans="1:7" x14ac:dyDescent="0.2">
      <c r="A26" s="30" t="s">
        <v>575</v>
      </c>
      <c r="B26" s="38">
        <v>67.930000000000007</v>
      </c>
      <c r="C26" s="38">
        <v>-155.05000000000001</v>
      </c>
      <c r="D26" s="30" t="s">
        <v>19</v>
      </c>
      <c r="E26" s="34" t="s">
        <v>20</v>
      </c>
      <c r="F26" s="34" t="s">
        <v>545</v>
      </c>
      <c r="G26" s="30" t="s">
        <v>546</v>
      </c>
    </row>
    <row r="27" spans="1:7" x14ac:dyDescent="0.2">
      <c r="A27" s="30" t="s">
        <v>576</v>
      </c>
      <c r="B27" s="38">
        <v>64</v>
      </c>
      <c r="C27" s="38">
        <v>-144.75</v>
      </c>
      <c r="D27" s="30" t="s">
        <v>19</v>
      </c>
      <c r="E27" s="34" t="s">
        <v>20</v>
      </c>
      <c r="F27" s="49" t="s">
        <v>1356</v>
      </c>
      <c r="G27" s="30" t="s">
        <v>546</v>
      </c>
    </row>
    <row r="28" spans="1:7" x14ac:dyDescent="0.2">
      <c r="A28" s="30" t="s">
        <v>577</v>
      </c>
      <c r="B28" s="38">
        <v>63.94</v>
      </c>
      <c r="C28" s="38">
        <v>-144.658333</v>
      </c>
      <c r="D28" s="30" t="s">
        <v>19</v>
      </c>
      <c r="E28" s="34" t="s">
        <v>20</v>
      </c>
      <c r="F28" s="34" t="s">
        <v>578</v>
      </c>
      <c r="G28" s="30" t="s">
        <v>556</v>
      </c>
    </row>
    <row r="29" spans="1:7" x14ac:dyDescent="0.2">
      <c r="A29" s="30" t="s">
        <v>579</v>
      </c>
      <c r="B29" s="38">
        <v>60.78</v>
      </c>
      <c r="C29" s="38">
        <v>-142.94999999999999</v>
      </c>
      <c r="D29" s="30" t="s">
        <v>19</v>
      </c>
      <c r="E29" s="34" t="s">
        <v>580</v>
      </c>
      <c r="F29" s="34" t="s">
        <v>581</v>
      </c>
      <c r="G29" s="30" t="s">
        <v>582</v>
      </c>
    </row>
    <row r="30" spans="1:7" x14ac:dyDescent="0.2">
      <c r="A30" s="30" t="s">
        <v>583</v>
      </c>
      <c r="B30" s="38">
        <v>63.6</v>
      </c>
      <c r="C30" s="38">
        <v>-143.94999999999999</v>
      </c>
      <c r="D30" s="30" t="s">
        <v>19</v>
      </c>
      <c r="E30" s="34" t="s">
        <v>20</v>
      </c>
      <c r="F30" s="34" t="s">
        <v>584</v>
      </c>
      <c r="G30" s="30" t="s">
        <v>559</v>
      </c>
    </row>
    <row r="31" spans="1:7" x14ac:dyDescent="0.2">
      <c r="A31" s="30" t="s">
        <v>585</v>
      </c>
      <c r="B31" s="38">
        <v>66.766666999999998</v>
      </c>
      <c r="C31" s="38">
        <v>-157.216667</v>
      </c>
      <c r="D31" s="30" t="s">
        <v>19</v>
      </c>
      <c r="E31" s="34" t="s">
        <v>20</v>
      </c>
      <c r="F31" s="34" t="s">
        <v>586</v>
      </c>
      <c r="G31" s="30" t="s">
        <v>556</v>
      </c>
    </row>
    <row r="32" spans="1:7" x14ac:dyDescent="0.2">
      <c r="A32" s="36" t="s">
        <v>1102</v>
      </c>
      <c r="B32" s="39">
        <v>60.356670000000001</v>
      </c>
      <c r="C32" s="39">
        <v>-123.64667</v>
      </c>
      <c r="D32" s="30" t="s">
        <v>19</v>
      </c>
      <c r="E32" s="34" t="s">
        <v>20</v>
      </c>
      <c r="F32" s="48" t="s">
        <v>1199</v>
      </c>
      <c r="G32" s="36" t="s">
        <v>559</v>
      </c>
    </row>
    <row r="33" spans="1:7" x14ac:dyDescent="0.2">
      <c r="A33" s="30" t="s">
        <v>587</v>
      </c>
      <c r="B33" s="38">
        <v>63.711111000000002</v>
      </c>
      <c r="C33" s="38">
        <v>-144.65</v>
      </c>
      <c r="D33" s="30" t="s">
        <v>19</v>
      </c>
      <c r="E33" s="34" t="s">
        <v>20</v>
      </c>
      <c r="F33" s="34" t="s">
        <v>588</v>
      </c>
      <c r="G33" s="30" t="s">
        <v>546</v>
      </c>
    </row>
    <row r="34" spans="1:7" x14ac:dyDescent="0.2">
      <c r="A34" s="26" t="s">
        <v>557</v>
      </c>
      <c r="B34" s="40">
        <v>72.694000000000003</v>
      </c>
      <c r="C34" s="38">
        <v>-157.52000000000001</v>
      </c>
      <c r="D34" s="30" t="s">
        <v>40</v>
      </c>
      <c r="E34" s="34" t="s">
        <v>1196</v>
      </c>
      <c r="F34" s="34" t="s">
        <v>558</v>
      </c>
      <c r="G34" s="30" t="s">
        <v>559</v>
      </c>
    </row>
    <row r="35" spans="1:7" x14ac:dyDescent="0.2">
      <c r="A35" s="30" t="s">
        <v>589</v>
      </c>
      <c r="B35" s="38">
        <v>68.150000000000006</v>
      </c>
      <c r="C35" s="38">
        <v>-161.41666699999999</v>
      </c>
      <c r="D35" s="30" t="s">
        <v>19</v>
      </c>
      <c r="E35" s="34" t="s">
        <v>20</v>
      </c>
      <c r="F35" s="34" t="s">
        <v>590</v>
      </c>
      <c r="G35" s="30" t="s">
        <v>556</v>
      </c>
    </row>
    <row r="36" spans="1:7" ht="31" x14ac:dyDescent="0.2">
      <c r="A36" s="30" t="s">
        <v>591</v>
      </c>
      <c r="B36" s="38">
        <v>68.02</v>
      </c>
      <c r="C36" s="38">
        <v>-146.91999999999999</v>
      </c>
      <c r="D36" s="30" t="s">
        <v>19</v>
      </c>
      <c r="E36" s="34" t="s">
        <v>592</v>
      </c>
      <c r="F36" s="34" t="s">
        <v>593</v>
      </c>
      <c r="G36" s="30" t="s">
        <v>594</v>
      </c>
    </row>
    <row r="37" spans="1:7" x14ac:dyDescent="0.2">
      <c r="A37" s="30" t="s">
        <v>595</v>
      </c>
      <c r="B37" s="38">
        <v>64.166667000000004</v>
      </c>
      <c r="C37" s="38">
        <v>-127.61666700000001</v>
      </c>
      <c r="D37" s="30" t="s">
        <v>19</v>
      </c>
      <c r="E37" s="34" t="s">
        <v>20</v>
      </c>
      <c r="F37" s="34" t="s">
        <v>596</v>
      </c>
      <c r="G37" s="30" t="s">
        <v>546</v>
      </c>
    </row>
    <row r="38" spans="1:7" x14ac:dyDescent="0.2">
      <c r="A38" s="30" t="s">
        <v>597</v>
      </c>
      <c r="B38" s="38">
        <v>61.55</v>
      </c>
      <c r="C38" s="38">
        <v>-149.19999999999999</v>
      </c>
      <c r="D38" s="30" t="s">
        <v>19</v>
      </c>
      <c r="E38" s="34" t="s">
        <v>63</v>
      </c>
      <c r="F38" s="34" t="s">
        <v>598</v>
      </c>
      <c r="G38" s="30" t="s">
        <v>599</v>
      </c>
    </row>
    <row r="39" spans="1:7" ht="31" x14ac:dyDescent="0.2">
      <c r="A39" s="30" t="s">
        <v>600</v>
      </c>
      <c r="B39" s="38">
        <v>66.966667000000001</v>
      </c>
      <c r="C39" s="38">
        <v>-156.44999999999999</v>
      </c>
      <c r="D39" s="30" t="s">
        <v>19</v>
      </c>
      <c r="E39" s="34" t="s">
        <v>20</v>
      </c>
      <c r="F39" s="58" t="s">
        <v>1272</v>
      </c>
      <c r="G39" s="30" t="s">
        <v>546</v>
      </c>
    </row>
    <row r="40" spans="1:7" x14ac:dyDescent="0.2">
      <c r="A40" s="30" t="s">
        <v>601</v>
      </c>
      <c r="B40" s="38">
        <v>65.94</v>
      </c>
      <c r="C40" s="38">
        <v>-135.51</v>
      </c>
      <c r="D40" s="30" t="s">
        <v>19</v>
      </c>
      <c r="E40" s="34" t="s">
        <v>20</v>
      </c>
      <c r="F40" s="34" t="s">
        <v>602</v>
      </c>
      <c r="G40" s="30" t="s">
        <v>546</v>
      </c>
    </row>
    <row r="41" spans="1:7" x14ac:dyDescent="0.2">
      <c r="A41" s="30" t="s">
        <v>603</v>
      </c>
      <c r="B41" s="38">
        <v>60.21</v>
      </c>
      <c r="C41" s="38">
        <v>-159.77000000000001</v>
      </c>
      <c r="D41" s="30" t="s">
        <v>19</v>
      </c>
      <c r="E41" s="34" t="s">
        <v>604</v>
      </c>
      <c r="F41" s="34" t="s">
        <v>605</v>
      </c>
      <c r="G41" s="30" t="s">
        <v>556</v>
      </c>
    </row>
    <row r="42" spans="1:7" x14ac:dyDescent="0.2">
      <c r="A42" s="30" t="s">
        <v>606</v>
      </c>
      <c r="B42" s="38">
        <v>68.266666999999998</v>
      </c>
      <c r="C42" s="38">
        <v>-133.466667</v>
      </c>
      <c r="D42" s="30" t="s">
        <v>19</v>
      </c>
      <c r="E42" s="34" t="s">
        <v>20</v>
      </c>
      <c r="F42" s="34" t="s">
        <v>607</v>
      </c>
      <c r="G42" s="30" t="s">
        <v>546</v>
      </c>
    </row>
    <row r="43" spans="1:7" x14ac:dyDescent="0.2">
      <c r="A43" s="30" t="s">
        <v>608</v>
      </c>
      <c r="B43" s="38">
        <v>68.680000000000007</v>
      </c>
      <c r="C43" s="38">
        <v>-149.08000000000001</v>
      </c>
      <c r="D43" s="30" t="s">
        <v>19</v>
      </c>
      <c r="E43" s="34" t="s">
        <v>609</v>
      </c>
      <c r="F43" s="34" t="s">
        <v>610</v>
      </c>
      <c r="G43" s="30" t="s">
        <v>611</v>
      </c>
    </row>
    <row r="44" spans="1:7" ht="31" x14ac:dyDescent="0.2">
      <c r="A44" s="30" t="s">
        <v>612</v>
      </c>
      <c r="B44" s="38">
        <v>66.916667000000004</v>
      </c>
      <c r="C44" s="38">
        <v>-155.033333</v>
      </c>
      <c r="D44" s="30" t="s">
        <v>19</v>
      </c>
      <c r="E44" s="34" t="s">
        <v>20</v>
      </c>
      <c r="F44" s="34" t="s">
        <v>1273</v>
      </c>
      <c r="G44" s="30" t="s">
        <v>546</v>
      </c>
    </row>
    <row r="45" spans="1:7" x14ac:dyDescent="0.2">
      <c r="A45" s="30" t="s">
        <v>613</v>
      </c>
      <c r="B45" s="38">
        <v>60.03</v>
      </c>
      <c r="C45" s="38">
        <v>-141.97</v>
      </c>
      <c r="D45" s="30" t="s">
        <v>19</v>
      </c>
      <c r="E45" s="34" t="s">
        <v>20</v>
      </c>
      <c r="F45" s="34" t="s">
        <v>614</v>
      </c>
      <c r="G45" s="30" t="s">
        <v>546</v>
      </c>
    </row>
    <row r="46" spans="1:7" x14ac:dyDescent="0.2">
      <c r="A46" s="36" t="s">
        <v>1241</v>
      </c>
      <c r="B46" s="39">
        <v>71.783330000000007</v>
      </c>
      <c r="C46" s="39">
        <v>-122.66667</v>
      </c>
      <c r="D46" s="30" t="s">
        <v>19</v>
      </c>
      <c r="E46" s="34" t="s">
        <v>20</v>
      </c>
      <c r="F46" s="48" t="s">
        <v>1198</v>
      </c>
      <c r="G46" s="36" t="s">
        <v>559</v>
      </c>
    </row>
    <row r="47" spans="1:7" x14ac:dyDescent="0.2">
      <c r="A47" s="30" t="s">
        <v>615</v>
      </c>
      <c r="B47" s="38">
        <v>63.016666999999998</v>
      </c>
      <c r="C47" s="38">
        <v>-128.80000000000001</v>
      </c>
      <c r="D47" s="30" t="s">
        <v>19</v>
      </c>
      <c r="E47" s="34" t="s">
        <v>20</v>
      </c>
      <c r="F47" s="34" t="s">
        <v>616</v>
      </c>
      <c r="G47" s="30" t="s">
        <v>556</v>
      </c>
    </row>
    <row r="48" spans="1:7" x14ac:dyDescent="0.2">
      <c r="A48" s="30" t="s">
        <v>617</v>
      </c>
      <c r="B48" s="38">
        <v>67.866667000000007</v>
      </c>
      <c r="C48" s="38">
        <v>-160.433333</v>
      </c>
      <c r="D48" s="30" t="s">
        <v>19</v>
      </c>
      <c r="E48" s="34" t="s">
        <v>20</v>
      </c>
      <c r="F48" s="49" t="s">
        <v>586</v>
      </c>
      <c r="G48" s="30" t="s">
        <v>556</v>
      </c>
    </row>
    <row r="49" spans="1:7" x14ac:dyDescent="0.2">
      <c r="A49" s="30" t="s">
        <v>619</v>
      </c>
      <c r="B49" s="38">
        <v>69.41</v>
      </c>
      <c r="C49" s="38">
        <v>-144.05000000000001</v>
      </c>
      <c r="D49" s="30" t="s">
        <v>19</v>
      </c>
      <c r="E49" s="34" t="s">
        <v>620</v>
      </c>
      <c r="F49" s="34" t="s">
        <v>621</v>
      </c>
      <c r="G49" s="30" t="s">
        <v>622</v>
      </c>
    </row>
    <row r="50" spans="1:7" x14ac:dyDescent="0.2">
      <c r="A50" s="30" t="s">
        <v>623</v>
      </c>
      <c r="B50" s="38">
        <v>74</v>
      </c>
      <c r="C50" s="38">
        <v>-161.4</v>
      </c>
      <c r="D50" s="30" t="s">
        <v>40</v>
      </c>
      <c r="E50" s="34" t="s">
        <v>52</v>
      </c>
      <c r="F50" s="34" t="s">
        <v>53</v>
      </c>
      <c r="G50" s="30" t="s">
        <v>556</v>
      </c>
    </row>
    <row r="51" spans="1:7" x14ac:dyDescent="0.2">
      <c r="A51" s="30" t="s">
        <v>624</v>
      </c>
      <c r="B51" s="38">
        <v>60.567</v>
      </c>
      <c r="C51" s="38">
        <v>-151.25</v>
      </c>
      <c r="D51" s="30" t="s">
        <v>19</v>
      </c>
      <c r="E51" s="34" t="s">
        <v>20</v>
      </c>
      <c r="F51" s="34" t="s">
        <v>625</v>
      </c>
      <c r="G51" s="30" t="s">
        <v>559</v>
      </c>
    </row>
    <row r="52" spans="1:7" x14ac:dyDescent="0.2">
      <c r="A52" s="30" t="s">
        <v>626</v>
      </c>
      <c r="B52" s="38">
        <v>67.2</v>
      </c>
      <c r="C52" s="38">
        <v>-142.07</v>
      </c>
      <c r="D52" s="30" t="s">
        <v>19</v>
      </c>
      <c r="E52" s="34" t="s">
        <v>20</v>
      </c>
      <c r="F52" s="34" t="s">
        <v>627</v>
      </c>
      <c r="G52" s="30" t="s">
        <v>546</v>
      </c>
    </row>
    <row r="53" spans="1:7" x14ac:dyDescent="0.2">
      <c r="A53" s="30" t="s">
        <v>628</v>
      </c>
      <c r="B53" s="38">
        <v>75.73</v>
      </c>
      <c r="C53" s="38">
        <v>-160.86000000000001</v>
      </c>
      <c r="D53" s="30" t="s">
        <v>40</v>
      </c>
      <c r="E53" s="34" t="s">
        <v>52</v>
      </c>
      <c r="F53" s="49" t="s">
        <v>94</v>
      </c>
      <c r="G53" s="30" t="s">
        <v>543</v>
      </c>
    </row>
    <row r="54" spans="1:7" x14ac:dyDescent="0.2">
      <c r="A54" s="30" t="s">
        <v>629</v>
      </c>
      <c r="B54" s="38">
        <v>61.12</v>
      </c>
      <c r="C54" s="38">
        <v>-149.47999999999999</v>
      </c>
      <c r="D54" s="30" t="s">
        <v>19</v>
      </c>
      <c r="E54" s="34" t="s">
        <v>20</v>
      </c>
      <c r="F54" s="34" t="s">
        <v>630</v>
      </c>
      <c r="G54" s="30" t="s">
        <v>556</v>
      </c>
    </row>
    <row r="55" spans="1:7" x14ac:dyDescent="0.2">
      <c r="A55" s="30" t="s">
        <v>631</v>
      </c>
      <c r="B55" s="38">
        <v>63.5</v>
      </c>
      <c r="C55" s="38">
        <v>-162.19999999999999</v>
      </c>
      <c r="D55" s="30" t="s">
        <v>19</v>
      </c>
      <c r="E55" s="34" t="s">
        <v>20</v>
      </c>
      <c r="F55" s="34" t="s">
        <v>632</v>
      </c>
      <c r="G55" s="30" t="s">
        <v>556</v>
      </c>
    </row>
    <row r="56" spans="1:7" ht="46" x14ac:dyDescent="0.2">
      <c r="A56" s="30" t="s">
        <v>633</v>
      </c>
      <c r="B56" s="38">
        <v>70.38</v>
      </c>
      <c r="C56" s="38">
        <v>-157.35</v>
      </c>
      <c r="D56" s="30" t="s">
        <v>19</v>
      </c>
      <c r="E56" s="49" t="s">
        <v>1240</v>
      </c>
      <c r="F56" s="34" t="s">
        <v>1096</v>
      </c>
      <c r="G56" s="30" t="s">
        <v>546</v>
      </c>
    </row>
    <row r="57" spans="1:7" x14ac:dyDescent="0.2">
      <c r="A57" s="30" t="s">
        <v>634</v>
      </c>
      <c r="B57" s="38">
        <v>65.233333000000002</v>
      </c>
      <c r="C57" s="38">
        <v>-126.416667</v>
      </c>
      <c r="D57" s="30" t="s">
        <v>19</v>
      </c>
      <c r="E57" s="34" t="s">
        <v>20</v>
      </c>
      <c r="F57" s="34" t="s">
        <v>635</v>
      </c>
      <c r="G57" s="30" t="s">
        <v>556</v>
      </c>
    </row>
    <row r="58" spans="1:7" ht="31" x14ac:dyDescent="0.2">
      <c r="A58" s="30" t="s">
        <v>636</v>
      </c>
      <c r="B58" s="38">
        <v>60.03</v>
      </c>
      <c r="C58" s="38">
        <v>-129.03</v>
      </c>
      <c r="D58" s="30" t="s">
        <v>19</v>
      </c>
      <c r="E58" s="34" t="s">
        <v>637</v>
      </c>
      <c r="F58" s="34" t="s">
        <v>638</v>
      </c>
      <c r="G58" s="30" t="s">
        <v>546</v>
      </c>
    </row>
    <row r="59" spans="1:7" x14ac:dyDescent="0.2">
      <c r="A59" s="30" t="s">
        <v>639</v>
      </c>
      <c r="B59" s="38">
        <v>67.42</v>
      </c>
      <c r="C59" s="38">
        <v>-149.80000000000001</v>
      </c>
      <c r="D59" s="30" t="s">
        <v>19</v>
      </c>
      <c r="E59" s="34" t="s">
        <v>20</v>
      </c>
      <c r="F59" s="34" t="s">
        <v>640</v>
      </c>
      <c r="G59" s="30" t="s">
        <v>559</v>
      </c>
    </row>
    <row r="60" spans="1:7" x14ac:dyDescent="0.2">
      <c r="A60" s="36" t="s">
        <v>1242</v>
      </c>
      <c r="B60" s="39">
        <v>67.683329999999998</v>
      </c>
      <c r="C60" s="39">
        <v>-155.0333</v>
      </c>
      <c r="D60" s="30" t="s">
        <v>19</v>
      </c>
      <c r="E60" s="34" t="s">
        <v>20</v>
      </c>
      <c r="F60" s="48" t="s">
        <v>1200</v>
      </c>
      <c r="G60" s="36" t="s">
        <v>559</v>
      </c>
    </row>
    <row r="61" spans="1:7" x14ac:dyDescent="0.2">
      <c r="A61" s="30" t="s">
        <v>641</v>
      </c>
      <c r="B61" s="38">
        <v>67.25</v>
      </c>
      <c r="C61" s="38">
        <v>-152.6</v>
      </c>
      <c r="D61" s="30" t="s">
        <v>19</v>
      </c>
      <c r="E61" s="34" t="s">
        <v>20</v>
      </c>
      <c r="F61" s="34" t="s">
        <v>642</v>
      </c>
      <c r="G61" s="30" t="s">
        <v>556</v>
      </c>
    </row>
    <row r="62" spans="1:7" x14ac:dyDescent="0.2">
      <c r="A62" s="30" t="s">
        <v>643</v>
      </c>
      <c r="B62" s="38">
        <v>69.116667000000007</v>
      </c>
      <c r="C62" s="38">
        <v>-132.16666699999999</v>
      </c>
      <c r="D62" s="30" t="s">
        <v>19</v>
      </c>
      <c r="E62" s="34" t="s">
        <v>20</v>
      </c>
      <c r="F62" s="34" t="s">
        <v>644</v>
      </c>
      <c r="G62" s="30" t="s">
        <v>556</v>
      </c>
    </row>
    <row r="63" spans="1:7" x14ac:dyDescent="0.2">
      <c r="A63" s="30" t="s">
        <v>645</v>
      </c>
      <c r="B63" s="38">
        <v>67.069999999999993</v>
      </c>
      <c r="C63" s="38">
        <v>-154.22999999999999</v>
      </c>
      <c r="D63" s="30" t="s">
        <v>19</v>
      </c>
      <c r="E63" s="34" t="s">
        <v>20</v>
      </c>
      <c r="F63" s="34" t="s">
        <v>545</v>
      </c>
      <c r="G63" s="30" t="s">
        <v>559</v>
      </c>
    </row>
    <row r="64" spans="1:7" ht="31" x14ac:dyDescent="0.2">
      <c r="A64" s="30" t="s">
        <v>646</v>
      </c>
      <c r="B64" s="38">
        <v>67.433333000000005</v>
      </c>
      <c r="C64" s="38">
        <v>-147.85</v>
      </c>
      <c r="D64" s="30" t="s">
        <v>19</v>
      </c>
      <c r="E64" s="34" t="s">
        <v>20</v>
      </c>
      <c r="F64" s="58" t="s">
        <v>1274</v>
      </c>
      <c r="G64" s="30" t="s">
        <v>556</v>
      </c>
    </row>
    <row r="65" spans="1:7" x14ac:dyDescent="0.2">
      <c r="A65" s="30" t="s">
        <v>647</v>
      </c>
      <c r="B65" s="38">
        <v>67.58</v>
      </c>
      <c r="C65" s="38">
        <v>-151.41999999999999</v>
      </c>
      <c r="D65" s="30" t="s">
        <v>19</v>
      </c>
      <c r="E65" s="34" t="s">
        <v>20</v>
      </c>
      <c r="F65" s="34" t="s">
        <v>642</v>
      </c>
      <c r="G65" s="30" t="s">
        <v>556</v>
      </c>
    </row>
    <row r="66" spans="1:7" x14ac:dyDescent="0.2">
      <c r="A66" s="30" t="s">
        <v>648</v>
      </c>
      <c r="B66" s="38">
        <v>69.28</v>
      </c>
      <c r="C66" s="38">
        <v>-133.58000000000001</v>
      </c>
      <c r="D66" s="30" t="s">
        <v>19</v>
      </c>
      <c r="E66" s="34" t="s">
        <v>20</v>
      </c>
      <c r="F66" s="34" t="s">
        <v>644</v>
      </c>
      <c r="G66" s="30" t="s">
        <v>546</v>
      </c>
    </row>
    <row r="67" spans="1:7" x14ac:dyDescent="0.2">
      <c r="A67" s="30" t="s">
        <v>649</v>
      </c>
      <c r="B67" s="38">
        <v>60.95</v>
      </c>
      <c r="C67" s="38">
        <v>-137.95777799999999</v>
      </c>
      <c r="D67" s="30" t="s">
        <v>19</v>
      </c>
      <c r="E67" s="34" t="s">
        <v>20</v>
      </c>
      <c r="F67" s="34" t="s">
        <v>650</v>
      </c>
      <c r="G67" s="30" t="s">
        <v>546</v>
      </c>
    </row>
    <row r="68" spans="1:7" x14ac:dyDescent="0.2">
      <c r="A68" s="30" t="s">
        <v>651</v>
      </c>
      <c r="B68" s="38">
        <v>60.79</v>
      </c>
      <c r="C68" s="38">
        <v>-150.83000000000001</v>
      </c>
      <c r="D68" s="30" t="s">
        <v>305</v>
      </c>
      <c r="E68" s="34" t="s">
        <v>652</v>
      </c>
      <c r="F68" s="34" t="s">
        <v>1290</v>
      </c>
      <c r="G68" s="30" t="s">
        <v>559</v>
      </c>
    </row>
    <row r="69" spans="1:7" x14ac:dyDescent="0.2">
      <c r="A69" s="36" t="s">
        <v>1243</v>
      </c>
      <c r="B69" s="39">
        <v>67.650000000000006</v>
      </c>
      <c r="C69" s="39">
        <v>-132.01666700000001</v>
      </c>
      <c r="D69" s="36" t="s">
        <v>19</v>
      </c>
      <c r="E69" s="34" t="s">
        <v>20</v>
      </c>
      <c r="F69" s="48" t="s">
        <v>1201</v>
      </c>
      <c r="G69" s="36" t="s">
        <v>559</v>
      </c>
    </row>
    <row r="70" spans="1:7" x14ac:dyDescent="0.2">
      <c r="A70" s="30" t="s">
        <v>653</v>
      </c>
      <c r="B70" s="38">
        <v>63.029443999999998</v>
      </c>
      <c r="C70" s="38">
        <v>-146.063333</v>
      </c>
      <c r="D70" s="30" t="s">
        <v>19</v>
      </c>
      <c r="E70" s="34" t="s">
        <v>20</v>
      </c>
      <c r="F70" s="34" t="s">
        <v>1299</v>
      </c>
      <c r="G70" s="33" t="s">
        <v>654</v>
      </c>
    </row>
    <row r="71" spans="1:7" x14ac:dyDescent="0.2">
      <c r="A71" s="30" t="s">
        <v>655</v>
      </c>
      <c r="B71" s="38">
        <v>67.67</v>
      </c>
      <c r="C71" s="38">
        <v>-149.08000000000001</v>
      </c>
      <c r="D71" s="30" t="s">
        <v>19</v>
      </c>
      <c r="E71" s="34" t="s">
        <v>63</v>
      </c>
      <c r="F71" s="34" t="s">
        <v>610</v>
      </c>
      <c r="G71" s="30" t="s">
        <v>611</v>
      </c>
    </row>
    <row r="72" spans="1:7" x14ac:dyDescent="0.2">
      <c r="A72" s="30" t="s">
        <v>656</v>
      </c>
      <c r="B72" s="38">
        <v>63.066667000000002</v>
      </c>
      <c r="C72" s="38">
        <v>-145.69999999999999</v>
      </c>
      <c r="D72" s="30" t="s">
        <v>19</v>
      </c>
      <c r="E72" s="34" t="s">
        <v>20</v>
      </c>
      <c r="F72" s="34" t="s">
        <v>657</v>
      </c>
      <c r="G72" s="30" t="s">
        <v>556</v>
      </c>
    </row>
    <row r="73" spans="1:7" x14ac:dyDescent="0.2">
      <c r="A73" s="30" t="s">
        <v>658</v>
      </c>
      <c r="B73" s="38">
        <v>66.58</v>
      </c>
      <c r="C73" s="38">
        <v>-143.15</v>
      </c>
      <c r="D73" s="30" t="s">
        <v>19</v>
      </c>
      <c r="E73" s="34" t="s">
        <v>20</v>
      </c>
      <c r="F73" s="34" t="s">
        <v>659</v>
      </c>
      <c r="G73" s="30" t="s">
        <v>546</v>
      </c>
    </row>
    <row r="74" spans="1:7" x14ac:dyDescent="0.2">
      <c r="A74" s="30" t="s">
        <v>660</v>
      </c>
      <c r="B74" s="38">
        <v>69.05</v>
      </c>
      <c r="C74" s="38">
        <v>-133.44999999999999</v>
      </c>
      <c r="D74" s="30" t="s">
        <v>19</v>
      </c>
      <c r="E74" s="34" t="s">
        <v>20</v>
      </c>
      <c r="F74" s="34" t="s">
        <v>661</v>
      </c>
      <c r="G74" s="30" t="s">
        <v>546</v>
      </c>
    </row>
    <row r="75" spans="1:7" x14ac:dyDescent="0.2">
      <c r="A75" s="30" t="s">
        <v>662</v>
      </c>
      <c r="B75" s="38">
        <v>68.5</v>
      </c>
      <c r="C75" s="38">
        <v>-157.05000000000001</v>
      </c>
      <c r="D75" s="30" t="s">
        <v>19</v>
      </c>
      <c r="E75" s="34" t="s">
        <v>20</v>
      </c>
      <c r="F75" s="55" t="s">
        <v>663</v>
      </c>
      <c r="G75" s="30" t="s">
        <v>559</v>
      </c>
    </row>
    <row r="76" spans="1:7" ht="31" x14ac:dyDescent="0.2">
      <c r="A76" s="30" t="s">
        <v>664</v>
      </c>
      <c r="B76" s="38">
        <v>66.05</v>
      </c>
      <c r="C76" s="38">
        <v>-135.65555599999999</v>
      </c>
      <c r="D76" s="30" t="s">
        <v>19</v>
      </c>
      <c r="E76" s="34" t="s">
        <v>20</v>
      </c>
      <c r="F76" s="58" t="s">
        <v>1275</v>
      </c>
      <c r="G76" s="30" t="s">
        <v>556</v>
      </c>
    </row>
    <row r="77" spans="1:7" x14ac:dyDescent="0.2">
      <c r="A77" s="30" t="s">
        <v>665</v>
      </c>
      <c r="B77" s="38">
        <v>64.333332999999996</v>
      </c>
      <c r="C77" s="38">
        <v>-151.26666700000001</v>
      </c>
      <c r="D77" s="30" t="s">
        <v>19</v>
      </c>
      <c r="E77" s="34" t="s">
        <v>20</v>
      </c>
      <c r="F77" s="34" t="s">
        <v>666</v>
      </c>
      <c r="G77" s="30" t="s">
        <v>556</v>
      </c>
    </row>
    <row r="78" spans="1:7" x14ac:dyDescent="0.2">
      <c r="A78" s="30" t="s">
        <v>667</v>
      </c>
      <c r="B78" s="38">
        <v>63.65</v>
      </c>
      <c r="C78" s="38">
        <v>-148.80000000000001</v>
      </c>
      <c r="D78" s="30" t="s">
        <v>19</v>
      </c>
      <c r="E78" s="34" t="s">
        <v>20</v>
      </c>
      <c r="F78" s="34" t="s">
        <v>668</v>
      </c>
      <c r="G78" s="30" t="s">
        <v>559</v>
      </c>
    </row>
    <row r="79" spans="1:7" x14ac:dyDescent="0.2">
      <c r="A79" s="30" t="s">
        <v>669</v>
      </c>
      <c r="B79" s="38">
        <v>63.483333000000002</v>
      </c>
      <c r="C79" s="38">
        <v>-151.08333300000001</v>
      </c>
      <c r="D79" s="30" t="s">
        <v>19</v>
      </c>
      <c r="E79" s="34" t="s">
        <v>20</v>
      </c>
      <c r="F79" s="34" t="s">
        <v>657</v>
      </c>
      <c r="G79" s="30" t="s">
        <v>556</v>
      </c>
    </row>
    <row r="80" spans="1:7" x14ac:dyDescent="0.2">
      <c r="A80" s="30" t="s">
        <v>670</v>
      </c>
      <c r="B80" s="38">
        <v>63.44</v>
      </c>
      <c r="C80" s="38">
        <v>-161.9</v>
      </c>
      <c r="D80" s="30" t="s">
        <v>19</v>
      </c>
      <c r="E80" s="34" t="s">
        <v>59</v>
      </c>
      <c r="F80" s="34" t="s">
        <v>671</v>
      </c>
      <c r="G80" s="30" t="s">
        <v>556</v>
      </c>
    </row>
    <row r="81" spans="1:19" x14ac:dyDescent="0.2">
      <c r="B81" s="38"/>
      <c r="C81" s="38"/>
      <c r="E81" s="34"/>
    </row>
    <row r="82" spans="1:19" s="4" customFormat="1" ht="14" x14ac:dyDescent="0.15">
      <c r="A82" s="32" t="s">
        <v>123</v>
      </c>
      <c r="B82" s="41"/>
      <c r="C82" s="42"/>
      <c r="D82" s="29"/>
      <c r="E82" s="46"/>
      <c r="F82" s="46"/>
      <c r="G82" s="29"/>
      <c r="H82" s="29"/>
      <c r="I82" s="29"/>
      <c r="J82" s="29"/>
      <c r="K82" s="29"/>
      <c r="L82" s="29"/>
      <c r="M82" s="29"/>
      <c r="N82" s="29"/>
      <c r="O82" s="29"/>
      <c r="P82" s="29"/>
      <c r="Q82" s="29"/>
      <c r="R82" s="29"/>
      <c r="S82" s="29"/>
    </row>
    <row r="83" spans="1:19" x14ac:dyDescent="0.2">
      <c r="A83" s="30" t="s">
        <v>672</v>
      </c>
      <c r="B83" s="38">
        <v>74.27</v>
      </c>
      <c r="C83" s="38">
        <v>-91.09</v>
      </c>
      <c r="D83" s="30" t="s">
        <v>40</v>
      </c>
      <c r="E83" s="34" t="s">
        <v>52</v>
      </c>
      <c r="F83" s="34" t="s">
        <v>697</v>
      </c>
      <c r="G83" s="30" t="s">
        <v>673</v>
      </c>
    </row>
    <row r="84" spans="1:19" x14ac:dyDescent="0.2">
      <c r="A84" s="30" t="s">
        <v>674</v>
      </c>
      <c r="B84" s="38">
        <v>71.75</v>
      </c>
      <c r="C84" s="38">
        <v>-124.27</v>
      </c>
      <c r="D84" s="30" t="s">
        <v>19</v>
      </c>
      <c r="E84" s="34" t="s">
        <v>20</v>
      </c>
      <c r="F84" s="34" t="s">
        <v>675</v>
      </c>
      <c r="G84" s="30" t="s">
        <v>546</v>
      </c>
    </row>
    <row r="85" spans="1:19" x14ac:dyDescent="0.2">
      <c r="A85" s="30" t="s">
        <v>1089</v>
      </c>
      <c r="B85" s="38">
        <v>72.366667000000007</v>
      </c>
      <c r="C85" s="38">
        <v>-119.833333</v>
      </c>
      <c r="D85" s="30" t="s">
        <v>19</v>
      </c>
      <c r="E85" s="34" t="s">
        <v>20</v>
      </c>
      <c r="F85" s="34" t="s">
        <v>688</v>
      </c>
      <c r="G85" s="30" t="s">
        <v>546</v>
      </c>
    </row>
    <row r="86" spans="1:19" x14ac:dyDescent="0.2">
      <c r="A86" s="30" t="s">
        <v>676</v>
      </c>
      <c r="B86" s="38">
        <v>73.53</v>
      </c>
      <c r="C86" s="38">
        <v>-120.27</v>
      </c>
      <c r="D86" s="30" t="s">
        <v>19</v>
      </c>
      <c r="E86" s="34" t="s">
        <v>20</v>
      </c>
      <c r="F86" s="34" t="s">
        <v>675</v>
      </c>
      <c r="G86" s="30" t="s">
        <v>546</v>
      </c>
    </row>
    <row r="87" spans="1:19" x14ac:dyDescent="0.2">
      <c r="A87" s="30" t="s">
        <v>677</v>
      </c>
      <c r="B87" s="38">
        <v>66.27</v>
      </c>
      <c r="C87" s="38">
        <v>-65.75</v>
      </c>
      <c r="D87" s="30" t="s">
        <v>19</v>
      </c>
      <c r="E87" s="34" t="s">
        <v>20</v>
      </c>
      <c r="F87" s="34" t="s">
        <v>1086</v>
      </c>
      <c r="G87" s="30" t="s">
        <v>546</v>
      </c>
    </row>
    <row r="88" spans="1:19" x14ac:dyDescent="0.2">
      <c r="A88" s="30" t="s">
        <v>678</v>
      </c>
      <c r="B88" s="38">
        <v>66.97</v>
      </c>
      <c r="C88" s="38">
        <v>-53.4</v>
      </c>
      <c r="D88" s="30" t="s">
        <v>19</v>
      </c>
      <c r="E88" s="34" t="s">
        <v>679</v>
      </c>
      <c r="F88" s="34" t="s">
        <v>215</v>
      </c>
      <c r="G88" s="30" t="s">
        <v>680</v>
      </c>
    </row>
    <row r="89" spans="1:19" x14ac:dyDescent="0.2">
      <c r="A89" s="30" t="s">
        <v>681</v>
      </c>
      <c r="B89" s="38">
        <v>66.97</v>
      </c>
      <c r="C89" s="38">
        <v>-53.5</v>
      </c>
      <c r="D89" s="30" t="s">
        <v>19</v>
      </c>
      <c r="E89" s="34" t="s">
        <v>679</v>
      </c>
      <c r="F89" s="34" t="s">
        <v>215</v>
      </c>
      <c r="G89" s="30" t="s">
        <v>680</v>
      </c>
    </row>
    <row r="90" spans="1:19" ht="31" x14ac:dyDescent="0.2">
      <c r="A90" s="30" t="s">
        <v>682</v>
      </c>
      <c r="B90" s="38">
        <v>70.459999999999994</v>
      </c>
      <c r="C90" s="38">
        <v>-70.09</v>
      </c>
      <c r="D90" s="30" t="s">
        <v>19</v>
      </c>
      <c r="E90" s="34" t="s">
        <v>1220</v>
      </c>
      <c r="F90" s="34" t="s">
        <v>683</v>
      </c>
      <c r="G90" s="30" t="s">
        <v>684</v>
      </c>
    </row>
    <row r="91" spans="1:19" x14ac:dyDescent="0.2">
      <c r="A91" s="30" t="s">
        <v>685</v>
      </c>
      <c r="B91" s="38">
        <v>78.491667000000007</v>
      </c>
      <c r="C91" s="38">
        <v>-76.78</v>
      </c>
      <c r="D91" s="30" t="s">
        <v>19</v>
      </c>
      <c r="E91" s="34" t="s">
        <v>20</v>
      </c>
      <c r="F91" s="34" t="s">
        <v>686</v>
      </c>
      <c r="G91" s="30" t="s">
        <v>556</v>
      </c>
    </row>
    <row r="92" spans="1:19" x14ac:dyDescent="0.2">
      <c r="A92" s="30" t="s">
        <v>689</v>
      </c>
      <c r="B92" s="38">
        <v>83.52</v>
      </c>
      <c r="C92" s="38">
        <v>-28.35</v>
      </c>
      <c r="D92" s="30" t="s">
        <v>19</v>
      </c>
      <c r="E92" s="34" t="s">
        <v>690</v>
      </c>
      <c r="F92" s="34" t="s">
        <v>1083</v>
      </c>
      <c r="G92" s="30" t="s">
        <v>546</v>
      </c>
    </row>
    <row r="93" spans="1:19" x14ac:dyDescent="0.2">
      <c r="A93" s="30" t="s">
        <v>691</v>
      </c>
      <c r="B93" s="38">
        <v>67.180000000000007</v>
      </c>
      <c r="C93" s="38">
        <v>-62.75</v>
      </c>
      <c r="D93" s="30" t="s">
        <v>19</v>
      </c>
      <c r="E93" s="34" t="s">
        <v>20</v>
      </c>
      <c r="F93" s="34" t="s">
        <v>1086</v>
      </c>
      <c r="G93" s="30" t="s">
        <v>546</v>
      </c>
    </row>
    <row r="94" spans="1:19" x14ac:dyDescent="0.2">
      <c r="A94" s="30" t="s">
        <v>692</v>
      </c>
      <c r="B94" s="38">
        <v>70.53</v>
      </c>
      <c r="C94" s="38">
        <v>-68.37</v>
      </c>
      <c r="D94" s="30" t="s">
        <v>19</v>
      </c>
      <c r="E94" s="34" t="s">
        <v>59</v>
      </c>
      <c r="F94" s="34" t="s">
        <v>693</v>
      </c>
      <c r="G94" s="30" t="s">
        <v>556</v>
      </c>
    </row>
    <row r="95" spans="1:19" x14ac:dyDescent="0.2">
      <c r="A95" s="30" t="s">
        <v>694</v>
      </c>
      <c r="B95" s="38">
        <v>70.56</v>
      </c>
      <c r="C95" s="38">
        <v>-68.95</v>
      </c>
      <c r="D95" s="30" t="s">
        <v>19</v>
      </c>
      <c r="E95" s="34" t="s">
        <v>59</v>
      </c>
      <c r="F95" s="34" t="s">
        <v>695</v>
      </c>
      <c r="G95" s="30" t="s">
        <v>556</v>
      </c>
    </row>
    <row r="96" spans="1:19" x14ac:dyDescent="0.2">
      <c r="A96" s="30" t="s">
        <v>696</v>
      </c>
      <c r="B96" s="38">
        <v>74.268000000000001</v>
      </c>
      <c r="C96" s="38">
        <v>-91.09</v>
      </c>
      <c r="D96" s="30" t="s">
        <v>40</v>
      </c>
      <c r="E96" s="34" t="s">
        <v>52</v>
      </c>
      <c r="F96" s="34" t="s">
        <v>697</v>
      </c>
      <c r="G96" s="30" t="s">
        <v>556</v>
      </c>
    </row>
    <row r="97" spans="1:7" x14ac:dyDescent="0.2">
      <c r="A97" s="30" t="s">
        <v>698</v>
      </c>
      <c r="B97" s="38">
        <v>70.09</v>
      </c>
      <c r="C97" s="38">
        <v>-52.89</v>
      </c>
      <c r="D97" s="30" t="s">
        <v>40</v>
      </c>
      <c r="E97" s="34" t="s">
        <v>699</v>
      </c>
      <c r="F97" s="34" t="s">
        <v>1100</v>
      </c>
      <c r="G97" s="30" t="s">
        <v>700</v>
      </c>
    </row>
    <row r="98" spans="1:7" ht="31" x14ac:dyDescent="0.2">
      <c r="A98" s="30" t="s">
        <v>701</v>
      </c>
      <c r="B98" s="38">
        <v>75.349999999999994</v>
      </c>
      <c r="C98" s="38">
        <v>-82.5</v>
      </c>
      <c r="D98" s="30" t="s">
        <v>702</v>
      </c>
      <c r="E98" s="34" t="s">
        <v>20</v>
      </c>
      <c r="F98" s="58" t="s">
        <v>1276</v>
      </c>
      <c r="G98" s="30" t="s">
        <v>556</v>
      </c>
    </row>
    <row r="99" spans="1:7" x14ac:dyDescent="0.2">
      <c r="A99" s="30" t="s">
        <v>703</v>
      </c>
      <c r="B99" s="38">
        <v>76.42</v>
      </c>
      <c r="C99" s="38">
        <v>-18.75</v>
      </c>
      <c r="D99" s="30" t="s">
        <v>19</v>
      </c>
      <c r="E99" s="34" t="s">
        <v>704</v>
      </c>
      <c r="F99" s="34" t="s">
        <v>705</v>
      </c>
      <c r="G99" s="30" t="s">
        <v>556</v>
      </c>
    </row>
    <row r="100" spans="1:7" x14ac:dyDescent="0.2">
      <c r="A100" s="30" t="s">
        <v>706</v>
      </c>
      <c r="B100" s="38">
        <v>66.62</v>
      </c>
      <c r="C100" s="38">
        <v>-61.65</v>
      </c>
      <c r="D100" s="30" t="s">
        <v>19</v>
      </c>
      <c r="E100" s="34" t="s">
        <v>20</v>
      </c>
      <c r="F100" s="34" t="s">
        <v>707</v>
      </c>
      <c r="G100" s="30" t="s">
        <v>546</v>
      </c>
    </row>
    <row r="101" spans="1:7" x14ac:dyDescent="0.2">
      <c r="A101" s="30" t="s">
        <v>708</v>
      </c>
      <c r="B101" s="38">
        <v>67</v>
      </c>
      <c r="C101" s="38">
        <v>-50.7</v>
      </c>
      <c r="D101" s="30" t="s">
        <v>19</v>
      </c>
      <c r="E101" s="34" t="s">
        <v>144</v>
      </c>
      <c r="F101" s="34" t="s">
        <v>1087</v>
      </c>
      <c r="G101" s="30" t="s">
        <v>709</v>
      </c>
    </row>
    <row r="102" spans="1:7" x14ac:dyDescent="0.2">
      <c r="A102" s="30" t="s">
        <v>710</v>
      </c>
      <c r="B102" s="38">
        <v>74.92</v>
      </c>
      <c r="C102" s="38">
        <v>-109.55</v>
      </c>
      <c r="D102" s="30" t="s">
        <v>19</v>
      </c>
      <c r="E102" s="34" t="s">
        <v>711</v>
      </c>
      <c r="F102" s="34" t="s">
        <v>712</v>
      </c>
      <c r="G102" s="30" t="s">
        <v>713</v>
      </c>
    </row>
    <row r="103" spans="1:7" x14ac:dyDescent="0.2">
      <c r="A103" s="30" t="s">
        <v>714</v>
      </c>
      <c r="B103" s="38">
        <v>73.034722000000002</v>
      </c>
      <c r="C103" s="38">
        <v>-85.216667000000001</v>
      </c>
      <c r="D103" s="30" t="s">
        <v>19</v>
      </c>
      <c r="E103" s="34" t="s">
        <v>20</v>
      </c>
      <c r="F103" s="34" t="s">
        <v>688</v>
      </c>
      <c r="G103" s="30" t="s">
        <v>556</v>
      </c>
    </row>
    <row r="104" spans="1:7" x14ac:dyDescent="0.2">
      <c r="A104" s="30" t="s">
        <v>715</v>
      </c>
      <c r="B104" s="38">
        <f>69+13.688/60</f>
        <v>69.228133333333332</v>
      </c>
      <c r="C104" s="38">
        <f>-50-55.6/60</f>
        <v>-50.926666666666669</v>
      </c>
      <c r="D104" s="30" t="s">
        <v>19</v>
      </c>
      <c r="E104" s="34" t="s">
        <v>716</v>
      </c>
      <c r="F104" s="34" t="s">
        <v>201</v>
      </c>
      <c r="G104" s="30" t="s">
        <v>559</v>
      </c>
    </row>
    <row r="105" spans="1:7" x14ac:dyDescent="0.2">
      <c r="A105" s="30" t="s">
        <v>717</v>
      </c>
      <c r="B105" s="38">
        <v>67.180000000000007</v>
      </c>
      <c r="C105" s="38">
        <v>-63.25</v>
      </c>
      <c r="D105" s="30" t="s">
        <v>19</v>
      </c>
      <c r="E105" s="34" t="s">
        <v>217</v>
      </c>
      <c r="F105" s="34" t="s">
        <v>718</v>
      </c>
      <c r="G105" s="30" t="s">
        <v>719</v>
      </c>
    </row>
    <row r="106" spans="1:7" x14ac:dyDescent="0.2">
      <c r="A106" s="1" t="s">
        <v>1339</v>
      </c>
      <c r="B106" s="38">
        <v>67.02</v>
      </c>
      <c r="C106" s="38">
        <v>-50.67</v>
      </c>
      <c r="D106" s="1" t="s">
        <v>19</v>
      </c>
      <c r="E106" s="49" t="s">
        <v>1340</v>
      </c>
      <c r="F106" s="49" t="s">
        <v>1341</v>
      </c>
      <c r="G106" s="30" t="s">
        <v>556</v>
      </c>
    </row>
    <row r="107" spans="1:7" x14ac:dyDescent="0.2">
      <c r="A107" s="30" t="s">
        <v>720</v>
      </c>
      <c r="B107" s="38">
        <v>61.3</v>
      </c>
      <c r="C107" s="38">
        <v>-71.06</v>
      </c>
      <c r="D107" s="30" t="s">
        <v>40</v>
      </c>
      <c r="E107" s="34" t="s">
        <v>52</v>
      </c>
      <c r="F107" s="34" t="s">
        <v>53</v>
      </c>
      <c r="G107" s="30" t="s">
        <v>543</v>
      </c>
    </row>
    <row r="108" spans="1:7" x14ac:dyDescent="0.2">
      <c r="A108" s="30" t="s">
        <v>721</v>
      </c>
      <c r="B108" s="38">
        <v>58.37</v>
      </c>
      <c r="C108" s="38">
        <v>-57.51</v>
      </c>
      <c r="D108" s="30" t="s">
        <v>40</v>
      </c>
      <c r="E108" s="34" t="s">
        <v>52</v>
      </c>
      <c r="F108" s="34" t="s">
        <v>1285</v>
      </c>
      <c r="G108" s="30" t="s">
        <v>546</v>
      </c>
    </row>
    <row r="109" spans="1:7" x14ac:dyDescent="0.2">
      <c r="A109" s="30" t="s">
        <v>722</v>
      </c>
      <c r="B109" s="38">
        <v>76.849999999999994</v>
      </c>
      <c r="C109" s="38">
        <v>-71.849999999999994</v>
      </c>
      <c r="D109" s="30" t="s">
        <v>40</v>
      </c>
      <c r="E109" s="34" t="s">
        <v>52</v>
      </c>
      <c r="F109" s="34" t="s">
        <v>723</v>
      </c>
      <c r="G109" s="30" t="s">
        <v>543</v>
      </c>
    </row>
    <row r="110" spans="1:7" x14ac:dyDescent="0.2">
      <c r="A110" s="30" t="s">
        <v>724</v>
      </c>
      <c r="B110" s="38">
        <v>69.235349999999997</v>
      </c>
      <c r="C110" s="38">
        <v>-50.015883333333299</v>
      </c>
      <c r="D110" s="30" t="s">
        <v>19</v>
      </c>
      <c r="E110" s="34" t="s">
        <v>716</v>
      </c>
      <c r="F110" s="34" t="s">
        <v>725</v>
      </c>
      <c r="G110" s="30" t="s">
        <v>559</v>
      </c>
    </row>
    <row r="111" spans="1:7" x14ac:dyDescent="0.2">
      <c r="A111" s="30" t="s">
        <v>726</v>
      </c>
      <c r="B111" s="38">
        <v>69.849999999999994</v>
      </c>
      <c r="C111" s="38">
        <v>-68.680000000000007</v>
      </c>
      <c r="D111" s="30" t="s">
        <v>19</v>
      </c>
      <c r="E111" s="34" t="s">
        <v>139</v>
      </c>
      <c r="F111" s="34" t="s">
        <v>140</v>
      </c>
      <c r="G111" s="30" t="s">
        <v>546</v>
      </c>
    </row>
    <row r="112" spans="1:7" x14ac:dyDescent="0.2">
      <c r="A112" s="30" t="s">
        <v>732</v>
      </c>
      <c r="B112" s="38">
        <v>81.349999999999994</v>
      </c>
      <c r="C112" s="38">
        <v>-69.53</v>
      </c>
      <c r="D112" s="30" t="s">
        <v>19</v>
      </c>
      <c r="E112" s="34" t="s">
        <v>580</v>
      </c>
      <c r="F112" s="34" t="s">
        <v>733</v>
      </c>
      <c r="G112" s="30" t="s">
        <v>734</v>
      </c>
    </row>
    <row r="113" spans="1:7" x14ac:dyDescent="0.2">
      <c r="A113" s="30" t="s">
        <v>735</v>
      </c>
      <c r="B113" s="38">
        <v>61.15</v>
      </c>
      <c r="C113" s="38">
        <v>-45.43</v>
      </c>
      <c r="D113" s="30" t="s">
        <v>19</v>
      </c>
      <c r="E113" s="34" t="s">
        <v>736</v>
      </c>
      <c r="F113" s="34" t="s">
        <v>737</v>
      </c>
      <c r="G113" s="30" t="s">
        <v>559</v>
      </c>
    </row>
    <row r="114" spans="1:7" x14ac:dyDescent="0.2">
      <c r="A114" s="30" t="s">
        <v>738</v>
      </c>
      <c r="B114" s="38">
        <v>71.783332999999999</v>
      </c>
      <c r="C114" s="38">
        <v>-122.666667</v>
      </c>
      <c r="D114" s="30" t="s">
        <v>19</v>
      </c>
      <c r="E114" s="34" t="s">
        <v>20</v>
      </c>
      <c r="F114" s="34" t="s">
        <v>675</v>
      </c>
      <c r="G114" s="30" t="s">
        <v>556</v>
      </c>
    </row>
    <row r="115" spans="1:7" x14ac:dyDescent="0.2">
      <c r="A115" s="30" t="s">
        <v>739</v>
      </c>
      <c r="B115" s="38">
        <v>66.67</v>
      </c>
      <c r="C115" s="38">
        <v>-51.97</v>
      </c>
      <c r="D115" s="30" t="s">
        <v>19</v>
      </c>
      <c r="E115" s="34" t="s">
        <v>1194</v>
      </c>
      <c r="F115" s="34" t="s">
        <v>740</v>
      </c>
      <c r="G115" s="30" t="s">
        <v>546</v>
      </c>
    </row>
    <row r="116" spans="1:7" x14ac:dyDescent="0.2">
      <c r="A116" s="30" t="s">
        <v>741</v>
      </c>
      <c r="B116" s="38">
        <v>69.849999999999994</v>
      </c>
      <c r="C116" s="38">
        <v>-68.67</v>
      </c>
      <c r="D116" s="30" t="s">
        <v>19</v>
      </c>
      <c r="E116" s="34" t="s">
        <v>139</v>
      </c>
      <c r="F116" s="34" t="s">
        <v>140</v>
      </c>
      <c r="G116" s="30" t="s">
        <v>546</v>
      </c>
    </row>
    <row r="117" spans="1:7" x14ac:dyDescent="0.2">
      <c r="A117" s="30" t="s">
        <v>742</v>
      </c>
      <c r="B117" s="38">
        <v>69.108666666666707</v>
      </c>
      <c r="C117" s="38">
        <v>-51.03</v>
      </c>
      <c r="D117" s="30" t="s">
        <v>19</v>
      </c>
      <c r="E117" s="34" t="s">
        <v>716</v>
      </c>
      <c r="F117" s="34" t="s">
        <v>201</v>
      </c>
      <c r="G117" s="30" t="s">
        <v>559</v>
      </c>
    </row>
    <row r="118" spans="1:7" x14ac:dyDescent="0.2">
      <c r="A118" s="30" t="s">
        <v>743</v>
      </c>
      <c r="B118" s="38">
        <v>78.39</v>
      </c>
      <c r="C118" s="38">
        <v>-80.400000000000006</v>
      </c>
      <c r="D118" s="30" t="s">
        <v>76</v>
      </c>
      <c r="E118" s="34" t="s">
        <v>744</v>
      </c>
      <c r="F118" s="34" t="s">
        <v>745</v>
      </c>
      <c r="G118" s="30" t="s">
        <v>746</v>
      </c>
    </row>
    <row r="119" spans="1:7" x14ac:dyDescent="0.2">
      <c r="A119" s="30" t="s">
        <v>747</v>
      </c>
      <c r="B119" s="38">
        <v>74.069999999999993</v>
      </c>
      <c r="C119" s="38">
        <v>-97.77</v>
      </c>
      <c r="D119" s="30" t="s">
        <v>19</v>
      </c>
      <c r="E119" s="34" t="s">
        <v>217</v>
      </c>
      <c r="F119" s="34" t="s">
        <v>748</v>
      </c>
      <c r="G119" s="30" t="s">
        <v>546</v>
      </c>
    </row>
    <row r="120" spans="1:7" x14ac:dyDescent="0.2">
      <c r="A120" s="30" t="s">
        <v>727</v>
      </c>
      <c r="B120" s="38">
        <v>73.591389000000007</v>
      </c>
      <c r="C120" s="38">
        <v>-98.538888999999998</v>
      </c>
      <c r="D120" s="30" t="s">
        <v>19</v>
      </c>
      <c r="E120" s="34" t="s">
        <v>20</v>
      </c>
      <c r="F120" s="34" t="s">
        <v>728</v>
      </c>
      <c r="G120" s="30" t="s">
        <v>556</v>
      </c>
    </row>
    <row r="121" spans="1:7" x14ac:dyDescent="0.2">
      <c r="A121" s="30" t="s">
        <v>749</v>
      </c>
      <c r="B121" s="38">
        <f>70+36/60</f>
        <v>70.599999999999994</v>
      </c>
      <c r="C121" s="38">
        <f>-(21+32/60)</f>
        <v>-21.533333333333335</v>
      </c>
      <c r="D121" s="30" t="s">
        <v>19</v>
      </c>
      <c r="E121" s="34" t="s">
        <v>217</v>
      </c>
      <c r="F121" s="56" t="s">
        <v>1225</v>
      </c>
      <c r="G121" s="30" t="s">
        <v>559</v>
      </c>
    </row>
    <row r="122" spans="1:7" x14ac:dyDescent="0.2">
      <c r="A122" s="30" t="s">
        <v>729</v>
      </c>
      <c r="B122" s="38">
        <v>73.133332999999993</v>
      </c>
      <c r="C122" s="38">
        <v>-95.283332999999999</v>
      </c>
      <c r="D122" s="30" t="s">
        <v>19</v>
      </c>
      <c r="E122" s="34" t="s">
        <v>20</v>
      </c>
      <c r="F122" s="34" t="s">
        <v>688</v>
      </c>
      <c r="G122" s="30" t="s">
        <v>556</v>
      </c>
    </row>
    <row r="123" spans="1:7" x14ac:dyDescent="0.2">
      <c r="A123" s="30" t="s">
        <v>730</v>
      </c>
      <c r="B123" s="38">
        <v>72.583332999999996</v>
      </c>
      <c r="C123" s="38">
        <v>-95.066666999999995</v>
      </c>
      <c r="D123" s="30" t="s">
        <v>19</v>
      </c>
      <c r="E123" s="34" t="s">
        <v>20</v>
      </c>
      <c r="F123" s="34" t="s">
        <v>688</v>
      </c>
      <c r="G123" s="30" t="s">
        <v>556</v>
      </c>
    </row>
    <row r="124" spans="1:7" x14ac:dyDescent="0.2">
      <c r="A124" s="30" t="s">
        <v>750</v>
      </c>
      <c r="B124" s="38">
        <v>68.55</v>
      </c>
      <c r="C124" s="38">
        <v>-83.29</v>
      </c>
      <c r="D124" s="30" t="s">
        <v>19</v>
      </c>
      <c r="E124" s="34" t="s">
        <v>217</v>
      </c>
      <c r="F124" s="34" t="s">
        <v>212</v>
      </c>
      <c r="G124" s="30" t="s">
        <v>543</v>
      </c>
    </row>
    <row r="125" spans="1:7" x14ac:dyDescent="0.2">
      <c r="A125" s="30" t="s">
        <v>751</v>
      </c>
      <c r="B125" s="38">
        <v>67.05</v>
      </c>
      <c r="C125" s="38">
        <v>-51.22</v>
      </c>
      <c r="D125" s="30" t="s">
        <v>19</v>
      </c>
      <c r="E125" s="34" t="s">
        <v>752</v>
      </c>
      <c r="F125" s="34" t="s">
        <v>1084</v>
      </c>
      <c r="G125" s="30" t="s">
        <v>700</v>
      </c>
    </row>
    <row r="126" spans="1:7" x14ac:dyDescent="0.2">
      <c r="A126" s="30" t="s">
        <v>753</v>
      </c>
      <c r="B126" s="38">
        <v>66.97</v>
      </c>
      <c r="C126" s="38">
        <v>-49.8</v>
      </c>
      <c r="D126" s="30" t="s">
        <v>19</v>
      </c>
      <c r="E126" s="34" t="s">
        <v>754</v>
      </c>
      <c r="F126" s="34" t="s">
        <v>218</v>
      </c>
      <c r="G126" s="30" t="s">
        <v>709</v>
      </c>
    </row>
    <row r="127" spans="1:7" x14ac:dyDescent="0.2">
      <c r="A127" s="30" t="s">
        <v>755</v>
      </c>
      <c r="B127" s="38">
        <v>66.97</v>
      </c>
      <c r="C127" s="38">
        <v>-51.05</v>
      </c>
      <c r="D127" s="30" t="s">
        <v>19</v>
      </c>
      <c r="E127" s="34" t="s">
        <v>756</v>
      </c>
      <c r="F127" s="34" t="s">
        <v>757</v>
      </c>
      <c r="G127" s="30" t="s">
        <v>559</v>
      </c>
    </row>
    <row r="128" spans="1:7" x14ac:dyDescent="0.2">
      <c r="A128" s="30" t="s">
        <v>758</v>
      </c>
      <c r="B128" s="38">
        <v>72.290000000000006</v>
      </c>
      <c r="C128" s="38">
        <v>-109.87</v>
      </c>
      <c r="D128" s="30" t="s">
        <v>19</v>
      </c>
      <c r="E128" s="34" t="s">
        <v>59</v>
      </c>
      <c r="F128" s="34" t="s">
        <v>759</v>
      </c>
      <c r="G128" s="30" t="s">
        <v>546</v>
      </c>
    </row>
    <row r="129" spans="1:19" x14ac:dyDescent="0.2">
      <c r="B129" s="38"/>
      <c r="C129" s="38"/>
      <c r="E129" s="34"/>
    </row>
    <row r="130" spans="1:19" s="4" customFormat="1" ht="14" x14ac:dyDescent="0.15">
      <c r="A130" s="32" t="s">
        <v>222</v>
      </c>
      <c r="B130" s="41"/>
      <c r="C130" s="41"/>
      <c r="D130" s="29"/>
      <c r="E130" s="47"/>
      <c r="F130" s="47"/>
      <c r="G130" s="32"/>
      <c r="H130" s="29"/>
      <c r="I130" s="29"/>
      <c r="J130" s="29"/>
      <c r="K130" s="29"/>
      <c r="L130" s="29"/>
      <c r="M130" s="29"/>
      <c r="N130" s="29"/>
      <c r="O130" s="29"/>
      <c r="P130" s="29"/>
      <c r="Q130" s="29"/>
      <c r="R130" s="29"/>
      <c r="S130" s="29"/>
    </row>
    <row r="131" spans="1:19" x14ac:dyDescent="0.2">
      <c r="A131" s="36" t="s">
        <v>1115</v>
      </c>
      <c r="B131" s="39">
        <v>61.883330000000001</v>
      </c>
      <c r="C131" s="39">
        <v>25.216670000000001</v>
      </c>
      <c r="D131" s="36" t="s">
        <v>19</v>
      </c>
      <c r="E131" s="34" t="s">
        <v>20</v>
      </c>
      <c r="F131" s="48" t="s">
        <v>1214</v>
      </c>
      <c r="G131" s="36" t="s">
        <v>559</v>
      </c>
    </row>
    <row r="132" spans="1:19" x14ac:dyDescent="0.2">
      <c r="A132" s="36" t="s">
        <v>1122</v>
      </c>
      <c r="B132" s="39">
        <v>69.125</v>
      </c>
      <c r="C132" s="39">
        <v>27.683333000000001</v>
      </c>
      <c r="D132" s="36" t="s">
        <v>19</v>
      </c>
      <c r="E132" s="34" t="s">
        <v>20</v>
      </c>
      <c r="F132" s="48" t="s">
        <v>1221</v>
      </c>
      <c r="G132" s="36" t="s">
        <v>559</v>
      </c>
    </row>
    <row r="133" spans="1:19" x14ac:dyDescent="0.2">
      <c r="A133" s="30" t="s">
        <v>760</v>
      </c>
      <c r="B133" s="38">
        <v>67.97</v>
      </c>
      <c r="C133" s="38">
        <v>20.48</v>
      </c>
      <c r="D133" s="36" t="s">
        <v>19</v>
      </c>
      <c r="E133" s="34" t="s">
        <v>20</v>
      </c>
      <c r="F133" s="34" t="s">
        <v>1099</v>
      </c>
      <c r="G133" s="30" t="s">
        <v>546</v>
      </c>
    </row>
    <row r="134" spans="1:19" x14ac:dyDescent="0.2">
      <c r="A134" s="36" t="s">
        <v>1118</v>
      </c>
      <c r="B134" s="39">
        <v>59.133330000000001</v>
      </c>
      <c r="C134" s="39">
        <v>26.32583</v>
      </c>
      <c r="D134" s="36" t="s">
        <v>19</v>
      </c>
      <c r="E134" s="34" t="s">
        <v>20</v>
      </c>
      <c r="F134" s="48" t="s">
        <v>1223</v>
      </c>
      <c r="G134" s="36" t="s">
        <v>559</v>
      </c>
    </row>
    <row r="135" spans="1:19" x14ac:dyDescent="0.2">
      <c r="A135" s="30" t="s">
        <v>761</v>
      </c>
      <c r="B135" s="38">
        <v>69.73</v>
      </c>
      <c r="C135" s="38">
        <v>19.98</v>
      </c>
      <c r="D135" s="36" t="s">
        <v>19</v>
      </c>
      <c r="E135" s="34" t="s">
        <v>1193</v>
      </c>
      <c r="F135" s="34" t="s">
        <v>253</v>
      </c>
      <c r="G135" s="30" t="s">
        <v>546</v>
      </c>
    </row>
    <row r="136" spans="1:19" x14ac:dyDescent="0.2">
      <c r="A136" s="30" t="s">
        <v>762</v>
      </c>
      <c r="B136" s="38">
        <v>69.7</v>
      </c>
      <c r="C136" s="38">
        <v>19.850000000000001</v>
      </c>
      <c r="D136" s="36" t="s">
        <v>19</v>
      </c>
      <c r="E136" s="34" t="s">
        <v>20</v>
      </c>
      <c r="F136" s="34" t="s">
        <v>249</v>
      </c>
      <c r="G136" s="30" t="s">
        <v>546</v>
      </c>
    </row>
    <row r="137" spans="1:19" x14ac:dyDescent="0.2">
      <c r="A137" s="36" t="s">
        <v>1138</v>
      </c>
      <c r="B137" s="39">
        <v>62.033329999999999</v>
      </c>
      <c r="C137" s="39">
        <v>32.766669999999998</v>
      </c>
      <c r="D137" s="36" t="s">
        <v>19</v>
      </c>
      <c r="E137" s="34" t="s">
        <v>20</v>
      </c>
      <c r="F137" s="48" t="s">
        <v>1202</v>
      </c>
      <c r="G137" s="36" t="s">
        <v>559</v>
      </c>
    </row>
    <row r="138" spans="1:19" x14ac:dyDescent="0.2">
      <c r="A138" s="36" t="s">
        <v>1107</v>
      </c>
      <c r="B138" s="39">
        <v>64.916659999999993</v>
      </c>
      <c r="C138" s="39">
        <v>11.66667</v>
      </c>
      <c r="D138" s="36" t="s">
        <v>19</v>
      </c>
      <c r="E138" s="34" t="s">
        <v>20</v>
      </c>
      <c r="F138" s="48" t="s">
        <v>1203</v>
      </c>
      <c r="G138" s="36" t="s">
        <v>559</v>
      </c>
    </row>
    <row r="139" spans="1:19" x14ac:dyDescent="0.2">
      <c r="A139" s="36" t="s">
        <v>1125</v>
      </c>
      <c r="B139" s="39">
        <v>70.183333000000005</v>
      </c>
      <c r="C139" s="39">
        <v>28.416667</v>
      </c>
      <c r="D139" s="36" t="s">
        <v>19</v>
      </c>
      <c r="E139" s="34" t="s">
        <v>20</v>
      </c>
      <c r="F139" s="48" t="s">
        <v>1221</v>
      </c>
      <c r="G139" s="36" t="s">
        <v>559</v>
      </c>
    </row>
    <row r="140" spans="1:19" x14ac:dyDescent="0.2">
      <c r="A140" s="30" t="s">
        <v>764</v>
      </c>
      <c r="B140" s="38">
        <v>61.58</v>
      </c>
      <c r="C140" s="38">
        <v>9.65</v>
      </c>
      <c r="D140" s="36" t="s">
        <v>19</v>
      </c>
      <c r="E140" s="34" t="s">
        <v>45</v>
      </c>
      <c r="F140" s="34" t="s">
        <v>765</v>
      </c>
      <c r="G140" s="30" t="s">
        <v>766</v>
      </c>
    </row>
    <row r="141" spans="1:19" x14ac:dyDescent="0.2">
      <c r="A141" s="36" t="s">
        <v>1133</v>
      </c>
      <c r="B141" s="39">
        <v>70.316666999999995</v>
      </c>
      <c r="C141" s="39">
        <v>31.033332999999999</v>
      </c>
      <c r="D141" s="36" t="s">
        <v>19</v>
      </c>
      <c r="E141" s="48" t="s">
        <v>20</v>
      </c>
      <c r="F141" s="48" t="s">
        <v>1222</v>
      </c>
      <c r="G141" s="36" t="s">
        <v>559</v>
      </c>
    </row>
    <row r="142" spans="1:19" x14ac:dyDescent="0.2">
      <c r="A142" s="30" t="s">
        <v>768</v>
      </c>
      <c r="B142" s="38">
        <v>59.53</v>
      </c>
      <c r="C142" s="38">
        <v>12.18</v>
      </c>
      <c r="D142" s="30" t="s">
        <v>305</v>
      </c>
      <c r="E142" s="34" t="s">
        <v>769</v>
      </c>
      <c r="F142" s="34" t="s">
        <v>306</v>
      </c>
      <c r="G142" s="30" t="s">
        <v>543</v>
      </c>
    </row>
    <row r="143" spans="1:19" x14ac:dyDescent="0.2">
      <c r="A143" s="30" t="s">
        <v>767</v>
      </c>
      <c r="B143" s="38">
        <v>60.6</v>
      </c>
      <c r="C143" s="38">
        <v>7.5</v>
      </c>
      <c r="D143" s="30" t="s">
        <v>19</v>
      </c>
      <c r="E143" s="34" t="s">
        <v>59</v>
      </c>
      <c r="F143" s="34" t="s">
        <v>240</v>
      </c>
      <c r="G143" s="30" t="s">
        <v>546</v>
      </c>
    </row>
    <row r="144" spans="1:19" x14ac:dyDescent="0.2">
      <c r="A144" s="36" t="s">
        <v>1106</v>
      </c>
      <c r="B144" s="39">
        <v>62.566670000000002</v>
      </c>
      <c r="C144" s="39">
        <v>10.133330000000001</v>
      </c>
      <c r="D144" s="30" t="s">
        <v>19</v>
      </c>
      <c r="E144" s="48" t="s">
        <v>20</v>
      </c>
      <c r="F144" s="48" t="s">
        <v>1204</v>
      </c>
      <c r="G144" s="36" t="s">
        <v>559</v>
      </c>
    </row>
    <row r="145" spans="1:7" x14ac:dyDescent="0.2">
      <c r="A145" s="36" t="s">
        <v>1145</v>
      </c>
      <c r="B145" s="39">
        <v>61.066670000000002</v>
      </c>
      <c r="C145" s="39">
        <v>36.049999999999997</v>
      </c>
      <c r="D145" s="30" t="s">
        <v>19</v>
      </c>
      <c r="E145" s="48" t="s">
        <v>20</v>
      </c>
      <c r="F145" s="57" t="s">
        <v>1210</v>
      </c>
      <c r="G145" s="36" t="s">
        <v>559</v>
      </c>
    </row>
    <row r="146" spans="1:7" x14ac:dyDescent="0.2">
      <c r="A146" s="36" t="s">
        <v>1143</v>
      </c>
      <c r="B146" s="39">
        <v>62.2</v>
      </c>
      <c r="C146" s="39">
        <v>33.799999999999997</v>
      </c>
      <c r="D146" s="30" t="s">
        <v>19</v>
      </c>
      <c r="E146" s="48" t="s">
        <v>20</v>
      </c>
      <c r="F146" s="57" t="s">
        <v>1226</v>
      </c>
      <c r="G146" s="36" t="s">
        <v>559</v>
      </c>
    </row>
    <row r="147" spans="1:7" x14ac:dyDescent="0.2">
      <c r="A147" s="36" t="s">
        <v>1105</v>
      </c>
      <c r="B147" s="39">
        <v>63.7</v>
      </c>
      <c r="C147" s="39">
        <v>8.6999999999999993</v>
      </c>
      <c r="D147" s="30" t="s">
        <v>19</v>
      </c>
      <c r="E147" s="48" t="s">
        <v>20</v>
      </c>
      <c r="F147" s="48" t="s">
        <v>1205</v>
      </c>
      <c r="G147" s="36" t="s">
        <v>559</v>
      </c>
    </row>
    <row r="148" spans="1:7" x14ac:dyDescent="0.2">
      <c r="A148" s="36" t="s">
        <v>1112</v>
      </c>
      <c r="B148" s="39">
        <v>60.625</v>
      </c>
      <c r="C148" s="39">
        <v>24.25</v>
      </c>
      <c r="D148" s="30" t="s">
        <v>19</v>
      </c>
      <c r="E148" s="48" t="s">
        <v>20</v>
      </c>
      <c r="F148" s="48" t="s">
        <v>1206</v>
      </c>
      <c r="G148" s="36" t="s">
        <v>559</v>
      </c>
    </row>
    <row r="149" spans="1:7" x14ac:dyDescent="0.2">
      <c r="A149" s="30" t="s">
        <v>770</v>
      </c>
      <c r="B149" s="38">
        <v>70.83</v>
      </c>
      <c r="C149" s="38">
        <v>27.72</v>
      </c>
      <c r="D149" s="30" t="s">
        <v>19</v>
      </c>
      <c r="E149" s="34" t="s">
        <v>20</v>
      </c>
      <c r="F149" s="34" t="s">
        <v>229</v>
      </c>
      <c r="G149" s="30" t="s">
        <v>546</v>
      </c>
    </row>
    <row r="150" spans="1:7" ht="31" x14ac:dyDescent="0.2">
      <c r="A150" s="36" t="s">
        <v>1244</v>
      </c>
      <c r="B150" s="39">
        <v>58.3</v>
      </c>
      <c r="C150" s="39">
        <v>31.233329999999999</v>
      </c>
      <c r="D150" s="30" t="s">
        <v>19</v>
      </c>
      <c r="E150" s="34" t="s">
        <v>20</v>
      </c>
      <c r="F150" s="48" t="s">
        <v>1207</v>
      </c>
      <c r="G150" s="36" t="s">
        <v>559</v>
      </c>
    </row>
    <row r="151" spans="1:7" ht="31" x14ac:dyDescent="0.2">
      <c r="A151" s="36" t="s">
        <v>1120</v>
      </c>
      <c r="B151" s="39">
        <v>59.133330000000001</v>
      </c>
      <c r="C151" s="39">
        <v>27.433330000000002</v>
      </c>
      <c r="D151" s="30" t="s">
        <v>19</v>
      </c>
      <c r="E151" s="34" t="s">
        <v>20</v>
      </c>
      <c r="F151" s="72" t="s">
        <v>1277</v>
      </c>
      <c r="G151" s="36" t="s">
        <v>559</v>
      </c>
    </row>
    <row r="152" spans="1:7" x14ac:dyDescent="0.2">
      <c r="A152" s="30" t="s">
        <v>771</v>
      </c>
      <c r="B152" s="38">
        <v>67.22</v>
      </c>
      <c r="C152" s="38">
        <v>17.8</v>
      </c>
      <c r="D152" s="30" t="s">
        <v>19</v>
      </c>
      <c r="E152" s="34" t="s">
        <v>217</v>
      </c>
      <c r="F152" s="34" t="s">
        <v>772</v>
      </c>
      <c r="G152" s="30" t="s">
        <v>556</v>
      </c>
    </row>
    <row r="153" spans="1:7" x14ac:dyDescent="0.2">
      <c r="A153" s="30" t="s">
        <v>773</v>
      </c>
      <c r="B153" s="38">
        <v>60.85</v>
      </c>
      <c r="C153" s="38">
        <v>25.38</v>
      </c>
      <c r="D153" s="30" t="s">
        <v>19</v>
      </c>
      <c r="E153" s="34" t="s">
        <v>59</v>
      </c>
      <c r="F153" s="34" t="s">
        <v>774</v>
      </c>
      <c r="G153" s="30" t="s">
        <v>684</v>
      </c>
    </row>
    <row r="154" spans="1:7" x14ac:dyDescent="0.2">
      <c r="A154" s="36" t="s">
        <v>1116</v>
      </c>
      <c r="B154" s="39">
        <v>61.416670000000003</v>
      </c>
      <c r="C154" s="39">
        <v>25.866669999999999</v>
      </c>
      <c r="D154" s="30" t="s">
        <v>19</v>
      </c>
      <c r="E154" s="48" t="s">
        <v>20</v>
      </c>
      <c r="F154" s="48" t="s">
        <v>1208</v>
      </c>
      <c r="G154" s="36" t="s">
        <v>559</v>
      </c>
    </row>
    <row r="155" spans="1:7" x14ac:dyDescent="0.2">
      <c r="A155" s="36" t="s">
        <v>1121</v>
      </c>
      <c r="B155" s="39">
        <v>58.166666999999997</v>
      </c>
      <c r="C155" s="39">
        <v>27.45</v>
      </c>
      <c r="D155" s="30" t="s">
        <v>19</v>
      </c>
      <c r="E155" s="48" t="s">
        <v>20</v>
      </c>
      <c r="F155" s="90" t="s">
        <v>1364</v>
      </c>
      <c r="G155" s="36" t="s">
        <v>559</v>
      </c>
    </row>
    <row r="156" spans="1:7" x14ac:dyDescent="0.2">
      <c r="A156" s="36" t="s">
        <v>1127</v>
      </c>
      <c r="B156" s="39">
        <v>66.116669999999999</v>
      </c>
      <c r="C156" s="39">
        <v>29</v>
      </c>
      <c r="D156" s="30" t="s">
        <v>19</v>
      </c>
      <c r="E156" s="48" t="s">
        <v>20</v>
      </c>
      <c r="F156" s="57" t="s">
        <v>1209</v>
      </c>
      <c r="G156" s="36" t="s">
        <v>559</v>
      </c>
    </row>
    <row r="157" spans="1:7" x14ac:dyDescent="0.2">
      <c r="A157" s="36" t="s">
        <v>1134</v>
      </c>
      <c r="B157" s="39">
        <v>65.083340000000007</v>
      </c>
      <c r="C157" s="39">
        <v>32.166670000000003</v>
      </c>
      <c r="D157" s="30" t="s">
        <v>19</v>
      </c>
      <c r="E157" s="48" t="s">
        <v>20</v>
      </c>
      <c r="F157" s="48" t="s">
        <v>1210</v>
      </c>
      <c r="G157" s="36" t="s">
        <v>559</v>
      </c>
    </row>
    <row r="158" spans="1:7" x14ac:dyDescent="0.2">
      <c r="A158" s="36" t="s">
        <v>1113</v>
      </c>
      <c r="B158" s="39">
        <v>60.866669999999999</v>
      </c>
      <c r="C158" s="39">
        <v>24.5</v>
      </c>
      <c r="D158" s="30" t="s">
        <v>19</v>
      </c>
      <c r="E158" s="48" t="s">
        <v>20</v>
      </c>
      <c r="F158" s="48" t="s">
        <v>1206</v>
      </c>
      <c r="G158" s="36" t="s">
        <v>559</v>
      </c>
    </row>
    <row r="159" spans="1:7" x14ac:dyDescent="0.2">
      <c r="A159" s="36" t="s">
        <v>1142</v>
      </c>
      <c r="B159" s="39">
        <v>62.283329999999999</v>
      </c>
      <c r="C159" s="39">
        <v>33.65</v>
      </c>
      <c r="D159" s="30" t="s">
        <v>19</v>
      </c>
      <c r="E159" s="48" t="s">
        <v>20</v>
      </c>
      <c r="F159" s="48" t="s">
        <v>563</v>
      </c>
      <c r="G159" s="36" t="s">
        <v>559</v>
      </c>
    </row>
    <row r="160" spans="1:7" ht="31" x14ac:dyDescent="0.2">
      <c r="A160" s="36" t="s">
        <v>1245</v>
      </c>
      <c r="B160" s="39">
        <v>59.7</v>
      </c>
      <c r="C160" s="39">
        <v>39.5</v>
      </c>
      <c r="D160" s="30" t="s">
        <v>19</v>
      </c>
      <c r="E160" s="48" t="s">
        <v>20</v>
      </c>
      <c r="F160" s="48" t="s">
        <v>1211</v>
      </c>
      <c r="G160" s="36" t="s">
        <v>559</v>
      </c>
    </row>
    <row r="161" spans="1:7" x14ac:dyDescent="0.2">
      <c r="A161" s="30" t="s">
        <v>775</v>
      </c>
      <c r="B161" s="38">
        <v>60.8</v>
      </c>
      <c r="C161" s="38">
        <v>23.8</v>
      </c>
      <c r="D161" s="30" t="s">
        <v>19</v>
      </c>
      <c r="E161" s="34" t="s">
        <v>20</v>
      </c>
      <c r="F161" s="34" t="s">
        <v>229</v>
      </c>
      <c r="G161" s="30" t="s">
        <v>546</v>
      </c>
    </row>
    <row r="162" spans="1:7" x14ac:dyDescent="0.2">
      <c r="A162" s="30" t="s">
        <v>776</v>
      </c>
      <c r="B162" s="38">
        <v>67.66</v>
      </c>
      <c r="C162" s="38">
        <v>33.630000000000003</v>
      </c>
      <c r="D162" s="30" t="s">
        <v>19</v>
      </c>
      <c r="E162" s="34" t="s">
        <v>59</v>
      </c>
      <c r="F162" s="34" t="s">
        <v>777</v>
      </c>
      <c r="G162" s="30" t="s">
        <v>546</v>
      </c>
    </row>
    <row r="163" spans="1:7" x14ac:dyDescent="0.2">
      <c r="A163" s="36" t="s">
        <v>1246</v>
      </c>
      <c r="B163" s="39">
        <v>61.556950000000001</v>
      </c>
      <c r="C163" s="39">
        <v>31.335280000000001</v>
      </c>
      <c r="D163" s="30" t="s">
        <v>19</v>
      </c>
      <c r="E163" s="48" t="s">
        <v>20</v>
      </c>
      <c r="F163" s="57" t="s">
        <v>1227</v>
      </c>
      <c r="G163" s="36" t="s">
        <v>559</v>
      </c>
    </row>
    <row r="164" spans="1:7" x14ac:dyDescent="0.2">
      <c r="A164" s="45" t="s">
        <v>1337</v>
      </c>
      <c r="B164" s="39">
        <v>58.383330000000001</v>
      </c>
      <c r="C164" s="39">
        <v>22.2</v>
      </c>
      <c r="D164" s="30" t="s">
        <v>19</v>
      </c>
      <c r="E164" s="48" t="s">
        <v>20</v>
      </c>
      <c r="F164" s="57" t="s">
        <v>1353</v>
      </c>
      <c r="G164" s="36" t="s">
        <v>559</v>
      </c>
    </row>
    <row r="165" spans="1:7" x14ac:dyDescent="0.2">
      <c r="A165" s="45" t="s">
        <v>1336</v>
      </c>
      <c r="B165" s="39">
        <v>59.433329999999998</v>
      </c>
      <c r="C165" s="39">
        <v>25</v>
      </c>
      <c r="D165" s="30" t="s">
        <v>19</v>
      </c>
      <c r="E165" s="48" t="s">
        <v>20</v>
      </c>
      <c r="F165" s="57" t="s">
        <v>1354</v>
      </c>
      <c r="G165" s="36" t="s">
        <v>559</v>
      </c>
    </row>
    <row r="166" spans="1:7" x14ac:dyDescent="0.2">
      <c r="A166" s="36" t="s">
        <v>1147</v>
      </c>
      <c r="B166" s="39">
        <v>61</v>
      </c>
      <c r="C166" s="39">
        <v>39</v>
      </c>
      <c r="D166" s="30" t="s">
        <v>19</v>
      </c>
      <c r="E166" s="48" t="s">
        <v>20</v>
      </c>
      <c r="F166" s="48" t="s">
        <v>1212</v>
      </c>
      <c r="G166" s="36" t="s">
        <v>559</v>
      </c>
    </row>
    <row r="167" spans="1:7" x14ac:dyDescent="0.2">
      <c r="A167" s="36" t="s">
        <v>1129</v>
      </c>
      <c r="B167" s="39">
        <v>64.566670000000002</v>
      </c>
      <c r="C167" s="39">
        <v>30.533329999999999</v>
      </c>
      <c r="D167" s="30" t="s">
        <v>19</v>
      </c>
      <c r="E167" s="48" t="s">
        <v>20</v>
      </c>
      <c r="F167" s="48" t="s">
        <v>1210</v>
      </c>
      <c r="G167" s="36" t="s">
        <v>559</v>
      </c>
    </row>
    <row r="168" spans="1:7" x14ac:dyDescent="0.2">
      <c r="A168" s="30" t="s">
        <v>778</v>
      </c>
      <c r="B168" s="38">
        <v>62.68</v>
      </c>
      <c r="C168" s="38">
        <v>14.53</v>
      </c>
      <c r="D168" s="30" t="s">
        <v>305</v>
      </c>
      <c r="E168" s="34" t="s">
        <v>769</v>
      </c>
      <c r="F168" s="34" t="s">
        <v>779</v>
      </c>
      <c r="G168" s="30" t="s">
        <v>780</v>
      </c>
    </row>
    <row r="169" spans="1:7" x14ac:dyDescent="0.2">
      <c r="A169" s="30" t="s">
        <v>781</v>
      </c>
      <c r="B169" s="38">
        <v>59.8</v>
      </c>
      <c r="C169" s="38">
        <v>7.25</v>
      </c>
      <c r="D169" s="30" t="s">
        <v>19</v>
      </c>
      <c r="E169" s="34" t="s">
        <v>20</v>
      </c>
      <c r="F169" s="34" t="s">
        <v>246</v>
      </c>
      <c r="G169" s="30" t="s">
        <v>546</v>
      </c>
    </row>
    <row r="170" spans="1:7" x14ac:dyDescent="0.2">
      <c r="A170" s="36" t="s">
        <v>1128</v>
      </c>
      <c r="B170" s="39">
        <v>65.616669999999999</v>
      </c>
      <c r="C170" s="39">
        <v>29.6</v>
      </c>
      <c r="D170" s="36" t="s">
        <v>19</v>
      </c>
      <c r="E170" s="34" t="s">
        <v>20</v>
      </c>
      <c r="F170" s="48" t="s">
        <v>1213</v>
      </c>
      <c r="G170" s="36" t="s">
        <v>559</v>
      </c>
    </row>
    <row r="171" spans="1:7" x14ac:dyDescent="0.2">
      <c r="A171" s="36" t="s">
        <v>1108</v>
      </c>
      <c r="B171" s="39">
        <v>69.05</v>
      </c>
      <c r="C171" s="39">
        <v>20.983329999999999</v>
      </c>
      <c r="D171" s="36" t="s">
        <v>19</v>
      </c>
      <c r="E171" s="34" t="s">
        <v>20</v>
      </c>
      <c r="F171" s="57" t="s">
        <v>1361</v>
      </c>
      <c r="G171" s="36" t="s">
        <v>559</v>
      </c>
    </row>
    <row r="172" spans="1:7" x14ac:dyDescent="0.2">
      <c r="A172" s="36" t="s">
        <v>1117</v>
      </c>
      <c r="B172" s="39">
        <v>62.333329999999997</v>
      </c>
      <c r="C172" s="39">
        <v>26.233329999999999</v>
      </c>
      <c r="D172" s="36" t="s">
        <v>19</v>
      </c>
      <c r="E172" s="34" t="s">
        <v>20</v>
      </c>
      <c r="F172" s="48" t="s">
        <v>1214</v>
      </c>
      <c r="G172" s="36" t="s">
        <v>559</v>
      </c>
    </row>
    <row r="173" spans="1:7" x14ac:dyDescent="0.2">
      <c r="A173" s="36" t="s">
        <v>1131</v>
      </c>
      <c r="B173" s="39">
        <v>66.366669999999999</v>
      </c>
      <c r="C173" s="39">
        <v>30.7</v>
      </c>
      <c r="D173" s="36" t="s">
        <v>19</v>
      </c>
      <c r="E173" s="34" t="s">
        <v>20</v>
      </c>
      <c r="F173" s="48" t="s">
        <v>1210</v>
      </c>
      <c r="G173" s="36" t="s">
        <v>559</v>
      </c>
    </row>
    <row r="174" spans="1:7" x14ac:dyDescent="0.2">
      <c r="A174" s="36" t="s">
        <v>1109</v>
      </c>
      <c r="B174" s="39">
        <v>68.916659999999993</v>
      </c>
      <c r="C174" s="39">
        <v>21</v>
      </c>
      <c r="D174" s="36" t="s">
        <v>19</v>
      </c>
      <c r="E174" s="34" t="s">
        <v>20</v>
      </c>
      <c r="F174" s="57" t="s">
        <v>1362</v>
      </c>
      <c r="G174" s="36" t="s">
        <v>559</v>
      </c>
    </row>
    <row r="175" spans="1:7" x14ac:dyDescent="0.2">
      <c r="A175" s="36" t="s">
        <v>1140</v>
      </c>
      <c r="B175" s="39">
        <v>61.80556</v>
      </c>
      <c r="C175" s="39">
        <v>33.5</v>
      </c>
      <c r="D175" s="36" t="s">
        <v>19</v>
      </c>
      <c r="E175" s="34" t="s">
        <v>20</v>
      </c>
      <c r="F175" s="48" t="s">
        <v>1210</v>
      </c>
      <c r="G175" s="36" t="s">
        <v>559</v>
      </c>
    </row>
    <row r="176" spans="1:7" x14ac:dyDescent="0.2">
      <c r="A176" s="36" t="s">
        <v>1144</v>
      </c>
      <c r="B176" s="39">
        <v>62.75</v>
      </c>
      <c r="C176" s="39">
        <v>34.583329999999997</v>
      </c>
      <c r="D176" s="36" t="s">
        <v>19</v>
      </c>
      <c r="E176" s="34" t="s">
        <v>20</v>
      </c>
      <c r="F176" s="48" t="s">
        <v>1210</v>
      </c>
      <c r="G176" s="36" t="s">
        <v>559</v>
      </c>
    </row>
    <row r="177" spans="1:7" x14ac:dyDescent="0.2">
      <c r="A177" s="36" t="s">
        <v>1139</v>
      </c>
      <c r="B177" s="39">
        <v>61.80556</v>
      </c>
      <c r="C177" s="39">
        <v>33.483330000000002</v>
      </c>
      <c r="D177" s="36" t="s">
        <v>19</v>
      </c>
      <c r="E177" s="34" t="s">
        <v>20</v>
      </c>
      <c r="F177" s="48" t="s">
        <v>1210</v>
      </c>
      <c r="G177" s="36" t="s">
        <v>559</v>
      </c>
    </row>
    <row r="178" spans="1:7" x14ac:dyDescent="0.2">
      <c r="A178" s="30" t="s">
        <v>782</v>
      </c>
      <c r="B178" s="38">
        <v>67.5</v>
      </c>
      <c r="C178" s="38">
        <v>18.07</v>
      </c>
      <c r="D178" s="36" t="s">
        <v>19</v>
      </c>
      <c r="E178" s="34" t="s">
        <v>217</v>
      </c>
      <c r="F178" s="34" t="s">
        <v>772</v>
      </c>
      <c r="G178" s="30" t="s">
        <v>546</v>
      </c>
    </row>
    <row r="179" spans="1:7" x14ac:dyDescent="0.2">
      <c r="A179" s="36" t="s">
        <v>1132</v>
      </c>
      <c r="B179" s="39">
        <v>64.566670000000002</v>
      </c>
      <c r="C179" s="39">
        <v>30.83333</v>
      </c>
      <c r="D179" s="36" t="s">
        <v>19</v>
      </c>
      <c r="E179" s="48" t="s">
        <v>20</v>
      </c>
      <c r="F179" s="48" t="s">
        <v>1210</v>
      </c>
      <c r="G179" s="36" t="s">
        <v>559</v>
      </c>
    </row>
    <row r="180" spans="1:7" x14ac:dyDescent="0.2">
      <c r="A180" s="36" t="s">
        <v>1247</v>
      </c>
      <c r="B180" s="39">
        <v>61.716670000000001</v>
      </c>
      <c r="C180" s="39">
        <v>34.916670000000003</v>
      </c>
      <c r="D180" s="36" t="s">
        <v>19</v>
      </c>
      <c r="E180" s="48" t="s">
        <v>20</v>
      </c>
      <c r="F180" s="48" t="s">
        <v>1218</v>
      </c>
      <c r="G180" s="36" t="s">
        <v>559</v>
      </c>
    </row>
    <row r="181" spans="1:7" x14ac:dyDescent="0.2">
      <c r="A181" s="30" t="s">
        <v>783</v>
      </c>
      <c r="B181" s="38">
        <v>68.819999999999993</v>
      </c>
      <c r="C181" s="38">
        <v>35.32</v>
      </c>
      <c r="D181" s="36" t="s">
        <v>19</v>
      </c>
      <c r="E181" s="34" t="s">
        <v>609</v>
      </c>
      <c r="F181" s="34" t="s">
        <v>784</v>
      </c>
      <c r="G181" s="30" t="s">
        <v>556</v>
      </c>
    </row>
    <row r="182" spans="1:7" x14ac:dyDescent="0.2">
      <c r="A182" s="36" t="s">
        <v>1130</v>
      </c>
      <c r="B182" s="39">
        <v>66.349999999999994</v>
      </c>
      <c r="C182" s="39">
        <v>30.566669999999998</v>
      </c>
      <c r="D182" s="36" t="s">
        <v>19</v>
      </c>
      <c r="E182" s="48" t="s">
        <v>20</v>
      </c>
      <c r="F182" s="48" t="s">
        <v>1210</v>
      </c>
      <c r="G182" s="36" t="s">
        <v>559</v>
      </c>
    </row>
    <row r="183" spans="1:7" x14ac:dyDescent="0.2">
      <c r="A183" s="36" t="s">
        <v>1141</v>
      </c>
      <c r="B183" s="39">
        <v>62.816670000000002</v>
      </c>
      <c r="C183" s="39">
        <v>33.577779999999997</v>
      </c>
      <c r="D183" s="36" t="s">
        <v>19</v>
      </c>
      <c r="E183" s="48" t="s">
        <v>20</v>
      </c>
      <c r="F183" s="57" t="s">
        <v>1228</v>
      </c>
      <c r="G183" s="36" t="s">
        <v>559</v>
      </c>
    </row>
    <row r="184" spans="1:7" x14ac:dyDescent="0.2">
      <c r="A184" s="36" t="s">
        <v>1135</v>
      </c>
      <c r="B184" s="39">
        <v>64.083340000000007</v>
      </c>
      <c r="C184" s="39">
        <v>32.633330000000001</v>
      </c>
      <c r="D184" s="36" t="s">
        <v>19</v>
      </c>
      <c r="E184" s="48" t="s">
        <v>20</v>
      </c>
      <c r="F184" s="48" t="s">
        <v>1210</v>
      </c>
      <c r="G184" s="36" t="s">
        <v>559</v>
      </c>
    </row>
    <row r="185" spans="1:7" x14ac:dyDescent="0.2">
      <c r="A185" s="36" t="s">
        <v>1111</v>
      </c>
      <c r="B185" s="39">
        <v>60.433329999999998</v>
      </c>
      <c r="C185" s="39">
        <v>24.16667</v>
      </c>
      <c r="D185" s="36" t="s">
        <v>19</v>
      </c>
      <c r="E185" s="48" t="s">
        <v>20</v>
      </c>
      <c r="F185" s="48" t="s">
        <v>1217</v>
      </c>
      <c r="G185" s="36" t="s">
        <v>559</v>
      </c>
    </row>
    <row r="186" spans="1:7" ht="31" x14ac:dyDescent="0.2">
      <c r="A186" s="30" t="s">
        <v>785</v>
      </c>
      <c r="B186" s="38">
        <v>67.77</v>
      </c>
      <c r="C186" s="38">
        <v>17.52</v>
      </c>
      <c r="D186" s="36" t="s">
        <v>19</v>
      </c>
      <c r="E186" s="34" t="s">
        <v>786</v>
      </c>
      <c r="F186" s="34" t="s">
        <v>772</v>
      </c>
      <c r="G186" s="30" t="s">
        <v>546</v>
      </c>
    </row>
    <row r="187" spans="1:7" x14ac:dyDescent="0.2">
      <c r="A187" s="36" t="s">
        <v>1136</v>
      </c>
      <c r="B187" s="39">
        <v>65.116669999999999</v>
      </c>
      <c r="C187" s="39">
        <v>32.633330000000001</v>
      </c>
      <c r="D187" s="36" t="s">
        <v>19</v>
      </c>
      <c r="E187" s="48" t="s">
        <v>20</v>
      </c>
      <c r="F187" s="48" t="s">
        <v>1210</v>
      </c>
      <c r="G187" s="36" t="s">
        <v>559</v>
      </c>
    </row>
    <row r="188" spans="1:7" x14ac:dyDescent="0.2">
      <c r="A188" s="36" t="s">
        <v>1126</v>
      </c>
      <c r="B188" s="39">
        <v>69.583340000000007</v>
      </c>
      <c r="C188" s="39">
        <v>28.83333</v>
      </c>
      <c r="D188" s="36" t="s">
        <v>19</v>
      </c>
      <c r="E188" s="48" t="s">
        <v>20</v>
      </c>
      <c r="F188" s="48" t="s">
        <v>1221</v>
      </c>
      <c r="G188" s="36" t="s">
        <v>559</v>
      </c>
    </row>
    <row r="189" spans="1:7" ht="31" x14ac:dyDescent="0.2">
      <c r="A189" s="36" t="s">
        <v>1124</v>
      </c>
      <c r="B189" s="39">
        <v>61.216670000000001</v>
      </c>
      <c r="C189" s="39">
        <v>28.116669999999999</v>
      </c>
      <c r="D189" s="36" t="s">
        <v>19</v>
      </c>
      <c r="E189" s="48" t="s">
        <v>20</v>
      </c>
      <c r="F189" s="73" t="s">
        <v>1281</v>
      </c>
      <c r="G189" s="36" t="s">
        <v>559</v>
      </c>
    </row>
    <row r="190" spans="1:7" x14ac:dyDescent="0.2">
      <c r="A190" s="30" t="s">
        <v>388</v>
      </c>
      <c r="B190" s="38">
        <v>68.3</v>
      </c>
      <c r="C190" s="38">
        <v>18.7</v>
      </c>
      <c r="D190" s="36" t="s">
        <v>19</v>
      </c>
      <c r="E190" s="34" t="s">
        <v>63</v>
      </c>
      <c r="F190" s="34" t="s">
        <v>1085</v>
      </c>
      <c r="G190" s="30" t="s">
        <v>787</v>
      </c>
    </row>
    <row r="191" spans="1:7" x14ac:dyDescent="0.2">
      <c r="A191" s="36" t="s">
        <v>1114</v>
      </c>
      <c r="B191" s="39">
        <v>59.466670000000001</v>
      </c>
      <c r="C191" s="39">
        <v>24.91667</v>
      </c>
      <c r="D191" s="36" t="s">
        <v>19</v>
      </c>
      <c r="E191" s="34" t="s">
        <v>20</v>
      </c>
      <c r="F191" s="57" t="s">
        <v>1363</v>
      </c>
      <c r="G191" s="36" t="s">
        <v>559</v>
      </c>
    </row>
    <row r="192" spans="1:7" x14ac:dyDescent="0.2">
      <c r="A192" s="36" t="s">
        <v>1123</v>
      </c>
      <c r="B192" s="39">
        <v>64.666659999999993</v>
      </c>
      <c r="C192" s="39">
        <v>27.866669999999999</v>
      </c>
      <c r="D192" s="36" t="s">
        <v>19</v>
      </c>
      <c r="E192" s="34" t="s">
        <v>20</v>
      </c>
      <c r="F192" s="48" t="s">
        <v>1216</v>
      </c>
      <c r="G192" s="36" t="s">
        <v>559</v>
      </c>
    </row>
    <row r="193" spans="1:19" x14ac:dyDescent="0.2">
      <c r="A193" s="30" t="s">
        <v>788</v>
      </c>
      <c r="B193" s="38">
        <v>59.45</v>
      </c>
      <c r="C193" s="38">
        <v>26.08</v>
      </c>
      <c r="D193" s="30" t="s">
        <v>19</v>
      </c>
      <c r="E193" s="34" t="s">
        <v>20</v>
      </c>
      <c r="F193" s="34" t="s">
        <v>347</v>
      </c>
      <c r="G193" s="30" t="s">
        <v>556</v>
      </c>
    </row>
    <row r="194" spans="1:19" ht="31" x14ac:dyDescent="0.2">
      <c r="A194" s="36" t="s">
        <v>1248</v>
      </c>
      <c r="B194" s="39">
        <v>60.502220000000001</v>
      </c>
      <c r="C194" s="39">
        <v>29.516940000000002</v>
      </c>
      <c r="D194" s="30" t="s">
        <v>19</v>
      </c>
      <c r="E194" s="34" t="s">
        <v>20</v>
      </c>
      <c r="F194" s="48" t="s">
        <v>1215</v>
      </c>
      <c r="G194" s="36" t="s">
        <v>559</v>
      </c>
    </row>
    <row r="195" spans="1:19" ht="31" x14ac:dyDescent="0.2">
      <c r="A195" s="36" t="s">
        <v>1119</v>
      </c>
      <c r="B195" s="39">
        <v>59.05</v>
      </c>
      <c r="C195" s="39">
        <v>27.33333</v>
      </c>
      <c r="D195" s="30" t="s">
        <v>19</v>
      </c>
      <c r="E195" s="34" t="s">
        <v>20</v>
      </c>
      <c r="F195" s="73" t="s">
        <v>1278</v>
      </c>
      <c r="G195" s="36" t="s">
        <v>559</v>
      </c>
    </row>
    <row r="196" spans="1:19" x14ac:dyDescent="0.2">
      <c r="A196" s="30" t="s">
        <v>789</v>
      </c>
      <c r="B196" s="38">
        <v>68.180000000000007</v>
      </c>
      <c r="C196" s="38">
        <v>18.170000000000002</v>
      </c>
      <c r="D196" s="30" t="s">
        <v>19</v>
      </c>
      <c r="E196" s="34" t="s">
        <v>790</v>
      </c>
      <c r="F196" s="34" t="s">
        <v>791</v>
      </c>
      <c r="G196" s="30" t="s">
        <v>700</v>
      </c>
    </row>
    <row r="197" spans="1:19" x14ac:dyDescent="0.2">
      <c r="A197" s="30" t="s">
        <v>412</v>
      </c>
      <c r="B197" s="38">
        <v>69.069999999999993</v>
      </c>
      <c r="C197" s="38">
        <v>36.07</v>
      </c>
      <c r="D197" s="30" t="s">
        <v>19</v>
      </c>
      <c r="E197" s="34" t="s">
        <v>609</v>
      </c>
      <c r="F197" s="34" t="s">
        <v>784</v>
      </c>
      <c r="G197" s="30" t="s">
        <v>556</v>
      </c>
    </row>
    <row r="198" spans="1:19" x14ac:dyDescent="0.2">
      <c r="A198" s="36" t="s">
        <v>1110</v>
      </c>
      <c r="B198" s="39">
        <v>62.133330000000001</v>
      </c>
      <c r="C198" s="39">
        <v>22.866669999999999</v>
      </c>
      <c r="D198" s="30" t="s">
        <v>19</v>
      </c>
      <c r="E198" s="34" t="s">
        <v>20</v>
      </c>
      <c r="F198" s="57" t="s">
        <v>1229</v>
      </c>
      <c r="G198" s="36" t="s">
        <v>559</v>
      </c>
    </row>
    <row r="199" spans="1:19" x14ac:dyDescent="0.2">
      <c r="A199" s="36" t="s">
        <v>1137</v>
      </c>
      <c r="B199" s="39">
        <v>65.116669999999999</v>
      </c>
      <c r="C199" s="39">
        <v>32.633330000000001</v>
      </c>
      <c r="D199" s="30" t="s">
        <v>19</v>
      </c>
      <c r="E199" s="34" t="s">
        <v>20</v>
      </c>
      <c r="F199" s="48" t="s">
        <v>1210</v>
      </c>
      <c r="G199" s="36" t="s">
        <v>559</v>
      </c>
    </row>
    <row r="200" spans="1:19" x14ac:dyDescent="0.2">
      <c r="A200" s="36" t="s">
        <v>1146</v>
      </c>
      <c r="B200" s="39">
        <v>63.9</v>
      </c>
      <c r="C200" s="39">
        <v>36.25</v>
      </c>
      <c r="D200" s="30" t="s">
        <v>19</v>
      </c>
      <c r="E200" s="34" t="s">
        <v>20</v>
      </c>
      <c r="F200" s="48" t="s">
        <v>1210</v>
      </c>
      <c r="G200" s="36" t="s">
        <v>559</v>
      </c>
    </row>
    <row r="201" spans="1:19" x14ac:dyDescent="0.2">
      <c r="A201" s="36"/>
      <c r="B201" s="39"/>
      <c r="C201" s="39"/>
      <c r="E201" s="34"/>
      <c r="F201" s="48"/>
      <c r="G201" s="36"/>
    </row>
    <row r="202" spans="1:19" s="4" customFormat="1" ht="14" x14ac:dyDescent="0.15">
      <c r="A202" s="32" t="s">
        <v>414</v>
      </c>
      <c r="B202" s="42"/>
      <c r="C202" s="42"/>
      <c r="D202" s="29"/>
      <c r="E202" s="46"/>
      <c r="F202" s="46"/>
      <c r="G202" s="29"/>
      <c r="H202" s="29"/>
      <c r="I202" s="29"/>
      <c r="J202" s="29"/>
      <c r="K202" s="29"/>
      <c r="L202" s="29"/>
      <c r="M202" s="29"/>
      <c r="N202" s="29"/>
      <c r="O202" s="29"/>
      <c r="P202" s="29"/>
      <c r="Q202" s="29"/>
      <c r="R202" s="29"/>
      <c r="S202" s="29"/>
    </row>
    <row r="203" spans="1:19" x14ac:dyDescent="0.2">
      <c r="A203" s="30" t="s">
        <v>825</v>
      </c>
      <c r="B203" s="38">
        <v>59.45</v>
      </c>
      <c r="C203" s="38">
        <v>-109.75</v>
      </c>
      <c r="D203" s="30" t="s">
        <v>19</v>
      </c>
      <c r="E203" s="34" t="s">
        <v>826</v>
      </c>
      <c r="F203" s="34" t="s">
        <v>827</v>
      </c>
      <c r="G203" s="33" t="s">
        <v>700</v>
      </c>
    </row>
    <row r="204" spans="1:19" x14ac:dyDescent="0.2">
      <c r="A204" s="30" t="s">
        <v>794</v>
      </c>
      <c r="B204" s="38">
        <v>60.782778</v>
      </c>
      <c r="C204" s="38">
        <v>-69.832778000000005</v>
      </c>
      <c r="D204" s="30" t="s">
        <v>19</v>
      </c>
      <c r="E204" s="34" t="s">
        <v>20</v>
      </c>
      <c r="F204" s="34" t="s">
        <v>795</v>
      </c>
      <c r="G204" s="30" t="s">
        <v>546</v>
      </c>
    </row>
    <row r="205" spans="1:19" ht="31" x14ac:dyDescent="0.2">
      <c r="A205" s="36" t="s">
        <v>1249</v>
      </c>
      <c r="B205" s="39">
        <v>60.622219999999999</v>
      </c>
      <c r="C205" s="39">
        <v>-83.253889999999998</v>
      </c>
      <c r="D205" s="36" t="s">
        <v>19</v>
      </c>
      <c r="E205" s="34" t="s">
        <v>20</v>
      </c>
      <c r="F205" s="73" t="s">
        <v>1279</v>
      </c>
      <c r="G205" s="36" t="s">
        <v>559</v>
      </c>
    </row>
    <row r="206" spans="1:19" x14ac:dyDescent="0.2">
      <c r="A206" s="30" t="s">
        <v>792</v>
      </c>
      <c r="B206" s="38">
        <v>69.87</v>
      </c>
      <c r="C206" s="38">
        <v>-68.86</v>
      </c>
      <c r="D206" s="30" t="s">
        <v>19</v>
      </c>
      <c r="E206" s="34" t="s">
        <v>20</v>
      </c>
      <c r="F206" s="34" t="s">
        <v>793</v>
      </c>
      <c r="G206" s="30" t="s">
        <v>746</v>
      </c>
    </row>
    <row r="207" spans="1:19" x14ac:dyDescent="0.2">
      <c r="A207" s="30" t="s">
        <v>796</v>
      </c>
      <c r="B207" s="38">
        <v>69.25</v>
      </c>
      <c r="C207" s="38">
        <v>-134.333333333333</v>
      </c>
      <c r="D207" s="30" t="s">
        <v>19</v>
      </c>
      <c r="E207" s="34" t="s">
        <v>797</v>
      </c>
      <c r="F207" s="34" t="s">
        <v>798</v>
      </c>
      <c r="G207" s="30" t="s">
        <v>543</v>
      </c>
    </row>
    <row r="208" spans="1:19" x14ac:dyDescent="0.2">
      <c r="A208" s="30" t="s">
        <v>799</v>
      </c>
      <c r="B208" s="38">
        <v>67.83</v>
      </c>
      <c r="C208" s="38">
        <v>-115.32</v>
      </c>
      <c r="D208" s="30" t="s">
        <v>19</v>
      </c>
      <c r="E208" s="34" t="s">
        <v>20</v>
      </c>
      <c r="F208" s="34" t="s">
        <v>1090</v>
      </c>
      <c r="G208" s="30" t="s">
        <v>800</v>
      </c>
    </row>
    <row r="209" spans="1:7" x14ac:dyDescent="0.2">
      <c r="A209" s="30" t="s">
        <v>801</v>
      </c>
      <c r="B209" s="38">
        <v>60.987499999999997</v>
      </c>
      <c r="C209" s="38">
        <v>-69.958332999999996</v>
      </c>
      <c r="D209" s="30" t="s">
        <v>19</v>
      </c>
      <c r="E209" s="34" t="s">
        <v>20</v>
      </c>
      <c r="F209" s="34" t="s">
        <v>1088</v>
      </c>
      <c r="G209" s="30" t="s">
        <v>556</v>
      </c>
    </row>
    <row r="210" spans="1:7" x14ac:dyDescent="0.2">
      <c r="A210" s="30" t="s">
        <v>802</v>
      </c>
      <c r="B210" s="38">
        <v>66.66</v>
      </c>
      <c r="C210" s="38">
        <v>-61.78</v>
      </c>
      <c r="D210" s="30" t="s">
        <v>19</v>
      </c>
      <c r="E210" s="49" t="s">
        <v>1224</v>
      </c>
      <c r="F210" s="34" t="s">
        <v>186</v>
      </c>
      <c r="G210" s="30" t="s">
        <v>546</v>
      </c>
    </row>
    <row r="211" spans="1:7" x14ac:dyDescent="0.2">
      <c r="A211" s="30" t="s">
        <v>803</v>
      </c>
      <c r="B211" s="38">
        <v>61.24</v>
      </c>
      <c r="C211" s="38">
        <v>-100.95</v>
      </c>
      <c r="D211" s="30" t="s">
        <v>19</v>
      </c>
      <c r="E211" s="34" t="s">
        <v>804</v>
      </c>
      <c r="F211" s="34" t="s">
        <v>1098</v>
      </c>
      <c r="G211" s="30" t="s">
        <v>805</v>
      </c>
    </row>
    <row r="212" spans="1:7" x14ac:dyDescent="0.2">
      <c r="A212" s="30" t="s">
        <v>717</v>
      </c>
      <c r="B212" s="38">
        <v>67.180000000000007</v>
      </c>
      <c r="C212" s="38">
        <v>-63.25</v>
      </c>
      <c r="D212" s="30" t="s">
        <v>19</v>
      </c>
      <c r="E212" s="34" t="s">
        <v>806</v>
      </c>
      <c r="F212" s="34" t="s">
        <v>807</v>
      </c>
      <c r="G212" s="30" t="s">
        <v>556</v>
      </c>
    </row>
    <row r="213" spans="1:7" x14ac:dyDescent="0.2">
      <c r="A213" s="30" t="s">
        <v>808</v>
      </c>
      <c r="B213" s="38">
        <v>60.03</v>
      </c>
      <c r="C213" s="38">
        <v>-129.02000000000001</v>
      </c>
      <c r="D213" s="30" t="s">
        <v>19</v>
      </c>
      <c r="E213" s="34" t="s">
        <v>20</v>
      </c>
      <c r="F213" s="34" t="s">
        <v>809</v>
      </c>
      <c r="G213" s="30" t="s">
        <v>559</v>
      </c>
    </row>
    <row r="214" spans="1:7" x14ac:dyDescent="0.2">
      <c r="A214" s="30" t="s">
        <v>810</v>
      </c>
      <c r="B214" s="38">
        <v>58.2</v>
      </c>
      <c r="C214" s="38">
        <v>-63.03</v>
      </c>
      <c r="D214" s="30" t="s">
        <v>19</v>
      </c>
      <c r="E214" s="34" t="s">
        <v>20</v>
      </c>
      <c r="F214" s="34" t="s">
        <v>707</v>
      </c>
      <c r="G214" s="30" t="s">
        <v>556</v>
      </c>
    </row>
    <row r="215" spans="1:7" x14ac:dyDescent="0.2">
      <c r="A215" s="30" t="s">
        <v>811</v>
      </c>
      <c r="B215" s="38">
        <v>63.3</v>
      </c>
      <c r="C215" s="38">
        <v>-67.36</v>
      </c>
      <c r="D215" s="30" t="s">
        <v>19</v>
      </c>
      <c r="E215" s="34" t="s">
        <v>20</v>
      </c>
      <c r="F215" s="34" t="s">
        <v>812</v>
      </c>
      <c r="G215" s="30" t="s">
        <v>763</v>
      </c>
    </row>
    <row r="216" spans="1:7" x14ac:dyDescent="0.2">
      <c r="A216" s="30" t="s">
        <v>813</v>
      </c>
      <c r="B216" s="38">
        <v>66.135000000000005</v>
      </c>
      <c r="C216" s="38">
        <v>-66.083332999999996</v>
      </c>
      <c r="D216" s="30" t="s">
        <v>19</v>
      </c>
      <c r="E216" s="34" t="s">
        <v>20</v>
      </c>
      <c r="F216" s="34" t="s">
        <v>814</v>
      </c>
      <c r="G216" s="30" t="s">
        <v>563</v>
      </c>
    </row>
    <row r="217" spans="1:7" x14ac:dyDescent="0.2">
      <c r="A217" s="30" t="s">
        <v>815</v>
      </c>
      <c r="B217" s="38">
        <v>68.366666666666703</v>
      </c>
      <c r="C217" s="38">
        <v>-133.333333333333</v>
      </c>
      <c r="D217" s="30" t="s">
        <v>19</v>
      </c>
      <c r="E217" s="34" t="s">
        <v>20</v>
      </c>
      <c r="F217" s="34" t="s">
        <v>816</v>
      </c>
      <c r="G217" s="30" t="s">
        <v>546</v>
      </c>
    </row>
    <row r="218" spans="1:7" x14ac:dyDescent="0.2">
      <c r="A218" s="30" t="s">
        <v>817</v>
      </c>
      <c r="B218" s="38">
        <v>59.516666999999998</v>
      </c>
      <c r="C218" s="38">
        <v>-122.166667</v>
      </c>
      <c r="D218" s="30" t="s">
        <v>19</v>
      </c>
      <c r="E218" s="34" t="s">
        <v>20</v>
      </c>
      <c r="F218" s="34" t="s">
        <v>818</v>
      </c>
      <c r="G218" s="30" t="s">
        <v>556</v>
      </c>
    </row>
    <row r="219" spans="1:7" x14ac:dyDescent="0.2">
      <c r="A219" s="30" t="s">
        <v>819</v>
      </c>
      <c r="B219" s="38">
        <v>62.17</v>
      </c>
      <c r="C219" s="38">
        <v>-75.650000000000006</v>
      </c>
      <c r="D219" s="30" t="s">
        <v>19</v>
      </c>
      <c r="E219" s="34" t="s">
        <v>820</v>
      </c>
      <c r="F219" s="34" t="s">
        <v>821</v>
      </c>
      <c r="G219" s="30" t="s">
        <v>559</v>
      </c>
    </row>
    <row r="220" spans="1:7" x14ac:dyDescent="0.2">
      <c r="A220" s="30" t="s">
        <v>822</v>
      </c>
      <c r="B220" s="38">
        <v>62.05</v>
      </c>
      <c r="C220" s="38">
        <v>-118.7</v>
      </c>
      <c r="D220" s="30" t="s">
        <v>19</v>
      </c>
      <c r="E220" s="34" t="s">
        <v>20</v>
      </c>
      <c r="F220" s="34" t="s">
        <v>818</v>
      </c>
      <c r="G220" s="30" t="s">
        <v>556</v>
      </c>
    </row>
    <row r="221" spans="1:7" x14ac:dyDescent="0.2">
      <c r="A221" s="30" t="s">
        <v>823</v>
      </c>
      <c r="B221" s="38">
        <v>58.87</v>
      </c>
      <c r="C221" s="38">
        <v>-71.72</v>
      </c>
      <c r="D221" s="30" t="s">
        <v>19</v>
      </c>
      <c r="E221" s="34" t="s">
        <v>20</v>
      </c>
      <c r="F221" s="34" t="s">
        <v>687</v>
      </c>
      <c r="G221" s="30" t="s">
        <v>824</v>
      </c>
    </row>
    <row r="222" spans="1:7" x14ac:dyDescent="0.2">
      <c r="A222" s="36" t="s">
        <v>1250</v>
      </c>
      <c r="B222" s="39">
        <v>62.633339999999997</v>
      </c>
      <c r="C222" s="39">
        <v>-101.2333</v>
      </c>
      <c r="D222" s="36" t="s">
        <v>19</v>
      </c>
      <c r="E222" s="34" t="s">
        <v>20</v>
      </c>
      <c r="F222" s="48" t="s">
        <v>731</v>
      </c>
      <c r="G222" s="36" t="s">
        <v>559</v>
      </c>
    </row>
    <row r="223" spans="1:7" x14ac:dyDescent="0.2">
      <c r="A223" s="30" t="s">
        <v>828</v>
      </c>
      <c r="B223" s="38">
        <v>58.58</v>
      </c>
      <c r="C223" s="38">
        <v>-75.25</v>
      </c>
      <c r="D223" s="30" t="s">
        <v>19</v>
      </c>
      <c r="E223" s="34" t="s">
        <v>20</v>
      </c>
      <c r="F223" s="34" t="s">
        <v>687</v>
      </c>
      <c r="G223" s="30" t="s">
        <v>546</v>
      </c>
    </row>
    <row r="224" spans="1:7" x14ac:dyDescent="0.2">
      <c r="A224" s="30" t="s">
        <v>829</v>
      </c>
      <c r="B224" s="38">
        <v>58.14</v>
      </c>
      <c r="C224" s="38">
        <v>-75.150000000000006</v>
      </c>
      <c r="D224" s="30" t="s">
        <v>19</v>
      </c>
      <c r="E224" s="34" t="s">
        <v>20</v>
      </c>
      <c r="F224" s="49" t="s">
        <v>1349</v>
      </c>
      <c r="G224" s="30" t="s">
        <v>546</v>
      </c>
    </row>
    <row r="225" spans="1:7" x14ac:dyDescent="0.2">
      <c r="A225" s="30" t="s">
        <v>830</v>
      </c>
      <c r="B225" s="38">
        <v>68.27</v>
      </c>
      <c r="C225" s="38">
        <v>-133.47</v>
      </c>
      <c r="D225" s="30" t="s">
        <v>19</v>
      </c>
      <c r="E225" s="34" t="s">
        <v>20</v>
      </c>
      <c r="F225" s="34" t="s">
        <v>607</v>
      </c>
      <c r="G225" s="30" t="s">
        <v>546</v>
      </c>
    </row>
    <row r="226" spans="1:7" x14ac:dyDescent="0.2">
      <c r="A226" s="30" t="s">
        <v>831</v>
      </c>
      <c r="B226" s="38">
        <v>64.133332999999993</v>
      </c>
      <c r="C226" s="38">
        <v>-110.583333</v>
      </c>
      <c r="D226" s="30" t="s">
        <v>19</v>
      </c>
      <c r="E226" s="34" t="s">
        <v>20</v>
      </c>
      <c r="F226" s="34" t="s">
        <v>832</v>
      </c>
      <c r="G226" s="30" t="s">
        <v>556</v>
      </c>
    </row>
    <row r="227" spans="1:7" x14ac:dyDescent="0.2">
      <c r="A227" s="30" t="s">
        <v>833</v>
      </c>
      <c r="B227" s="38">
        <v>61.583333000000003</v>
      </c>
      <c r="C227" s="38">
        <v>-103.483333</v>
      </c>
      <c r="D227" s="30" t="s">
        <v>19</v>
      </c>
      <c r="E227" s="34" t="s">
        <v>20</v>
      </c>
      <c r="F227" s="34" t="s">
        <v>834</v>
      </c>
      <c r="G227" s="30" t="s">
        <v>556</v>
      </c>
    </row>
    <row r="228" spans="1:7" x14ac:dyDescent="0.2">
      <c r="A228" s="30" t="s">
        <v>835</v>
      </c>
      <c r="B228" s="38">
        <v>61.57</v>
      </c>
      <c r="C228" s="38">
        <v>-71.77</v>
      </c>
      <c r="D228" s="30" t="s">
        <v>19</v>
      </c>
      <c r="E228" s="34" t="s">
        <v>820</v>
      </c>
      <c r="F228" s="34" t="s">
        <v>821</v>
      </c>
      <c r="G228" s="30" t="s">
        <v>559</v>
      </c>
    </row>
    <row r="229" spans="1:7" x14ac:dyDescent="0.2">
      <c r="A229" s="30" t="s">
        <v>836</v>
      </c>
      <c r="B229" s="38">
        <v>64.2</v>
      </c>
      <c r="C229" s="38">
        <v>-110.966666666667</v>
      </c>
      <c r="D229" s="30" t="s">
        <v>19</v>
      </c>
      <c r="E229" s="34" t="s">
        <v>837</v>
      </c>
      <c r="F229" s="34" t="s">
        <v>838</v>
      </c>
      <c r="G229" s="30" t="s">
        <v>559</v>
      </c>
    </row>
    <row r="230" spans="1:7" x14ac:dyDescent="0.2">
      <c r="A230" s="30" t="s">
        <v>839</v>
      </c>
      <c r="B230" s="38">
        <v>58.23</v>
      </c>
      <c r="C230" s="38">
        <v>-72.069999999999993</v>
      </c>
      <c r="D230" s="30" t="s">
        <v>19</v>
      </c>
      <c r="E230" s="34" t="s">
        <v>20</v>
      </c>
      <c r="F230" s="34" t="s">
        <v>688</v>
      </c>
      <c r="G230" s="30" t="s">
        <v>546</v>
      </c>
    </row>
    <row r="231" spans="1:7" x14ac:dyDescent="0.2">
      <c r="A231" s="30" t="s">
        <v>840</v>
      </c>
      <c r="B231" s="38">
        <v>58.22</v>
      </c>
      <c r="C231" s="38">
        <v>-71.95</v>
      </c>
      <c r="D231" s="30" t="s">
        <v>19</v>
      </c>
      <c r="E231" s="34" t="s">
        <v>20</v>
      </c>
      <c r="F231" s="34" t="s">
        <v>688</v>
      </c>
      <c r="G231" s="30" t="s">
        <v>546</v>
      </c>
    </row>
    <row r="232" spans="1:7" x14ac:dyDescent="0.2">
      <c r="A232" s="30" t="s">
        <v>841</v>
      </c>
      <c r="B232" s="38">
        <v>63.4</v>
      </c>
      <c r="C232" s="38">
        <v>-64.260000000000005</v>
      </c>
      <c r="D232" s="30" t="s">
        <v>19</v>
      </c>
      <c r="E232" s="34" t="s">
        <v>20</v>
      </c>
      <c r="F232" s="34" t="s">
        <v>842</v>
      </c>
      <c r="G232" s="30" t="s">
        <v>556</v>
      </c>
    </row>
    <row r="233" spans="1:7" x14ac:dyDescent="0.2">
      <c r="A233" s="30" t="s">
        <v>843</v>
      </c>
      <c r="B233" s="38">
        <v>69.283333333333303</v>
      </c>
      <c r="C233" s="38">
        <v>-133.583333333333</v>
      </c>
      <c r="D233" s="30" t="s">
        <v>19</v>
      </c>
      <c r="E233" s="34" t="s">
        <v>20</v>
      </c>
      <c r="F233" s="49" t="s">
        <v>1230</v>
      </c>
      <c r="G233" s="30" t="s">
        <v>546</v>
      </c>
    </row>
    <row r="234" spans="1:7" x14ac:dyDescent="0.2">
      <c r="A234" s="30" t="s">
        <v>844</v>
      </c>
      <c r="B234" s="38">
        <v>64.616666666666703</v>
      </c>
      <c r="C234" s="38">
        <v>-110.833333333333</v>
      </c>
      <c r="D234" s="30" t="s">
        <v>19</v>
      </c>
      <c r="E234" s="34" t="s">
        <v>217</v>
      </c>
      <c r="F234" s="49" t="s">
        <v>1351</v>
      </c>
      <c r="G234" s="30" t="s">
        <v>543</v>
      </c>
    </row>
    <row r="235" spans="1:7" x14ac:dyDescent="0.2">
      <c r="A235" s="30" t="s">
        <v>844</v>
      </c>
      <c r="B235" s="38">
        <v>64.616666666666703</v>
      </c>
      <c r="C235" s="38">
        <v>-110.833333333333</v>
      </c>
      <c r="D235" s="30" t="s">
        <v>19</v>
      </c>
      <c r="E235" s="34" t="s">
        <v>845</v>
      </c>
      <c r="F235" s="34" t="s">
        <v>846</v>
      </c>
      <c r="G235" s="30" t="s">
        <v>543</v>
      </c>
    </row>
    <row r="236" spans="1:7" x14ac:dyDescent="0.2">
      <c r="A236" s="30" t="s">
        <v>844</v>
      </c>
      <c r="B236" s="38">
        <v>64.616666666666703</v>
      </c>
      <c r="C236" s="38">
        <v>-110.833333333333</v>
      </c>
      <c r="D236" s="30" t="s">
        <v>19</v>
      </c>
      <c r="E236" s="34" t="s">
        <v>847</v>
      </c>
      <c r="F236" s="34" t="s">
        <v>848</v>
      </c>
      <c r="G236" s="30" t="s">
        <v>543</v>
      </c>
    </row>
    <row r="237" spans="1:7" x14ac:dyDescent="0.2">
      <c r="A237" s="30" t="s">
        <v>849</v>
      </c>
      <c r="B237" s="38">
        <v>63.033332999999999</v>
      </c>
      <c r="C237" s="38">
        <v>-100.75</v>
      </c>
      <c r="D237" s="30" t="s">
        <v>19</v>
      </c>
      <c r="E237" s="34" t="s">
        <v>20</v>
      </c>
      <c r="F237" s="34" t="s">
        <v>731</v>
      </c>
      <c r="G237" s="33" t="s">
        <v>850</v>
      </c>
    </row>
    <row r="238" spans="1:7" x14ac:dyDescent="0.2">
      <c r="A238" s="30" t="s">
        <v>851</v>
      </c>
      <c r="B238" s="38">
        <v>69</v>
      </c>
      <c r="C238" s="38">
        <v>-121</v>
      </c>
      <c r="D238" s="30" t="s">
        <v>19</v>
      </c>
      <c r="E238" s="34" t="s">
        <v>20</v>
      </c>
      <c r="F238" s="49" t="s">
        <v>1352</v>
      </c>
      <c r="G238" s="30" t="s">
        <v>546</v>
      </c>
    </row>
    <row r="239" spans="1:7" x14ac:dyDescent="0.2">
      <c r="A239" s="30" t="s">
        <v>852</v>
      </c>
      <c r="B239" s="38">
        <v>58.633333333333297</v>
      </c>
      <c r="C239" s="38">
        <v>-63.6</v>
      </c>
      <c r="D239" s="30" t="s">
        <v>19</v>
      </c>
      <c r="E239" s="34" t="s">
        <v>853</v>
      </c>
      <c r="F239" s="34" t="s">
        <v>854</v>
      </c>
      <c r="G239" s="30" t="s">
        <v>546</v>
      </c>
    </row>
    <row r="240" spans="1:7" x14ac:dyDescent="0.2">
      <c r="A240" s="30" t="s">
        <v>855</v>
      </c>
      <c r="B240" s="38">
        <v>70.64</v>
      </c>
      <c r="C240" s="38">
        <v>-135.91999999999999</v>
      </c>
      <c r="D240" s="30" t="s">
        <v>40</v>
      </c>
      <c r="E240" s="34" t="s">
        <v>52</v>
      </c>
      <c r="F240" s="34" t="s">
        <v>856</v>
      </c>
      <c r="G240" s="30" t="s">
        <v>857</v>
      </c>
    </row>
    <row r="241" spans="1:19" x14ac:dyDescent="0.2">
      <c r="A241" s="30" t="s">
        <v>858</v>
      </c>
      <c r="B241" s="38">
        <v>67.650000000000006</v>
      </c>
      <c r="C241" s="38">
        <v>-132.02000000000001</v>
      </c>
      <c r="D241" s="30" t="s">
        <v>19</v>
      </c>
      <c r="E241" s="34" t="s">
        <v>20</v>
      </c>
      <c r="F241" s="34" t="s">
        <v>602</v>
      </c>
      <c r="G241" s="30" t="s">
        <v>546</v>
      </c>
    </row>
    <row r="242" spans="1:19" x14ac:dyDescent="0.2">
      <c r="A242" s="30" t="s">
        <v>859</v>
      </c>
      <c r="B242" s="38">
        <v>63.07</v>
      </c>
      <c r="C242" s="38">
        <v>-110.79</v>
      </c>
      <c r="D242" s="30" t="s">
        <v>19</v>
      </c>
      <c r="E242" s="34" t="s">
        <v>20</v>
      </c>
      <c r="F242" s="34" t="s">
        <v>602</v>
      </c>
      <c r="G242" s="30" t="s">
        <v>546</v>
      </c>
    </row>
    <row r="243" spans="1:19" x14ac:dyDescent="0.2">
      <c r="A243" s="30" t="s">
        <v>860</v>
      </c>
      <c r="B243" s="38">
        <v>66.33</v>
      </c>
      <c r="C243" s="38">
        <v>-104.93</v>
      </c>
      <c r="D243" s="30" t="s">
        <v>19</v>
      </c>
      <c r="E243" s="34" t="s">
        <v>861</v>
      </c>
      <c r="F243" s="34" t="s">
        <v>862</v>
      </c>
      <c r="G243" s="30" t="s">
        <v>559</v>
      </c>
    </row>
    <row r="244" spans="1:19" x14ac:dyDescent="0.2">
      <c r="A244" s="30" t="s">
        <v>863</v>
      </c>
      <c r="B244" s="38">
        <v>58.232778000000003</v>
      </c>
      <c r="C244" s="38">
        <v>-72.066944000000007</v>
      </c>
      <c r="D244" s="30" t="s">
        <v>19</v>
      </c>
      <c r="E244" s="34" t="s">
        <v>20</v>
      </c>
      <c r="F244" s="34" t="s">
        <v>675</v>
      </c>
      <c r="G244" s="33" t="s">
        <v>864</v>
      </c>
    </row>
    <row r="245" spans="1:19" x14ac:dyDescent="0.2">
      <c r="A245" s="30" t="s">
        <v>865</v>
      </c>
      <c r="B245" s="38">
        <v>69.05</v>
      </c>
      <c r="C245" s="38">
        <v>-133.44999999999999</v>
      </c>
      <c r="D245" s="30" t="s">
        <v>19</v>
      </c>
      <c r="E245" s="34" t="s">
        <v>20</v>
      </c>
      <c r="F245" s="34" t="s">
        <v>866</v>
      </c>
      <c r="G245" s="30" t="s">
        <v>546</v>
      </c>
    </row>
    <row r="246" spans="1:19" x14ac:dyDescent="0.2">
      <c r="A246" s="30" t="s">
        <v>867</v>
      </c>
      <c r="B246" s="38">
        <v>68.3</v>
      </c>
      <c r="C246" s="38">
        <v>-133.416666666667</v>
      </c>
      <c r="D246" s="30" t="s">
        <v>19</v>
      </c>
      <c r="E246" s="34" t="s">
        <v>20</v>
      </c>
      <c r="F246" s="34" t="s">
        <v>816</v>
      </c>
      <c r="G246" s="30" t="s">
        <v>546</v>
      </c>
    </row>
    <row r="247" spans="1:19" x14ac:dyDescent="0.2">
      <c r="A247" s="30" t="s">
        <v>868</v>
      </c>
      <c r="B247" s="38">
        <v>64.150000000000006</v>
      </c>
      <c r="C247" s="38">
        <v>-107.816666666667</v>
      </c>
      <c r="D247" s="30" t="s">
        <v>19</v>
      </c>
      <c r="E247" s="34" t="s">
        <v>869</v>
      </c>
      <c r="F247" s="34" t="s">
        <v>870</v>
      </c>
      <c r="G247" s="30" t="s">
        <v>559</v>
      </c>
    </row>
    <row r="248" spans="1:19" x14ac:dyDescent="0.2">
      <c r="A248" s="30" t="s">
        <v>871</v>
      </c>
      <c r="B248" s="38">
        <v>60.78</v>
      </c>
      <c r="C248" s="38">
        <v>-69.83</v>
      </c>
      <c r="D248" s="30" t="s">
        <v>19</v>
      </c>
      <c r="E248" s="34" t="s">
        <v>20</v>
      </c>
      <c r="F248" s="34" t="s">
        <v>707</v>
      </c>
      <c r="G248" s="30" t="s">
        <v>546</v>
      </c>
    </row>
    <row r="249" spans="1:19" x14ac:dyDescent="0.2">
      <c r="A249" s="30" t="s">
        <v>872</v>
      </c>
      <c r="B249" s="38">
        <v>59.25</v>
      </c>
      <c r="C249" s="38">
        <v>-114.15</v>
      </c>
      <c r="D249" s="30" t="s">
        <v>19</v>
      </c>
      <c r="E249" s="34" t="s">
        <v>20</v>
      </c>
      <c r="F249" s="34" t="s">
        <v>873</v>
      </c>
      <c r="G249" s="30" t="s">
        <v>556</v>
      </c>
    </row>
    <row r="250" spans="1:19" x14ac:dyDescent="0.2">
      <c r="B250" s="38"/>
      <c r="C250" s="38"/>
      <c r="E250" s="34"/>
    </row>
    <row r="251" spans="1:19" s="4" customFormat="1" ht="14" x14ac:dyDescent="0.15">
      <c r="A251" s="32" t="s">
        <v>455</v>
      </c>
      <c r="B251" s="42"/>
      <c r="C251" s="42"/>
      <c r="D251" s="29"/>
      <c r="E251" s="46"/>
      <c r="F251" s="46"/>
      <c r="G251" s="29"/>
      <c r="H251" s="29"/>
      <c r="I251" s="29"/>
      <c r="J251" s="29"/>
      <c r="K251" s="29"/>
      <c r="L251" s="29"/>
      <c r="M251" s="29"/>
      <c r="N251" s="29"/>
      <c r="O251" s="29"/>
      <c r="P251" s="29"/>
      <c r="Q251" s="29"/>
      <c r="R251" s="29"/>
      <c r="S251" s="29"/>
    </row>
    <row r="252" spans="1:19" x14ac:dyDescent="0.2">
      <c r="A252" s="30" t="s">
        <v>874</v>
      </c>
      <c r="B252" s="38">
        <v>77.27</v>
      </c>
      <c r="C252" s="38">
        <v>74.33</v>
      </c>
      <c r="D252" s="30" t="s">
        <v>40</v>
      </c>
      <c r="E252" s="34" t="s">
        <v>52</v>
      </c>
      <c r="F252" s="34" t="s">
        <v>875</v>
      </c>
      <c r="G252" s="30" t="s">
        <v>559</v>
      </c>
    </row>
    <row r="253" spans="1:19" x14ac:dyDescent="0.2">
      <c r="A253" s="30" t="s">
        <v>876</v>
      </c>
      <c r="B253" s="38">
        <v>66.89</v>
      </c>
      <c r="C253" s="38">
        <v>18.98</v>
      </c>
      <c r="D253" s="30" t="s">
        <v>40</v>
      </c>
      <c r="E253" s="34" t="s">
        <v>149</v>
      </c>
      <c r="F253" s="34" t="s">
        <v>459</v>
      </c>
      <c r="G253" s="30" t="s">
        <v>556</v>
      </c>
    </row>
    <row r="254" spans="1:19" x14ac:dyDescent="0.2">
      <c r="A254" s="30" t="s">
        <v>877</v>
      </c>
      <c r="B254" s="38">
        <v>66.64</v>
      </c>
      <c r="C254" s="38">
        <v>-20.87</v>
      </c>
      <c r="D254" s="30" t="s">
        <v>40</v>
      </c>
      <c r="E254" s="34" t="s">
        <v>52</v>
      </c>
      <c r="F254" s="34" t="s">
        <v>878</v>
      </c>
      <c r="G254" s="30" t="s">
        <v>543</v>
      </c>
    </row>
    <row r="255" spans="1:19" x14ac:dyDescent="0.2">
      <c r="A255" s="30" t="s">
        <v>879</v>
      </c>
      <c r="B255" s="38">
        <v>63.93</v>
      </c>
      <c r="C255" s="38">
        <v>-24.48</v>
      </c>
      <c r="D255" s="30" t="s">
        <v>40</v>
      </c>
      <c r="E255" s="34" t="s">
        <v>880</v>
      </c>
      <c r="F255" s="34" t="s">
        <v>459</v>
      </c>
      <c r="G255" s="30" t="s">
        <v>546</v>
      </c>
    </row>
    <row r="256" spans="1:19" x14ac:dyDescent="0.2">
      <c r="A256" s="30" t="s">
        <v>881</v>
      </c>
      <c r="B256" s="38">
        <v>65.56</v>
      </c>
      <c r="C256" s="38">
        <v>-37.44</v>
      </c>
      <c r="D256" s="30" t="s">
        <v>40</v>
      </c>
      <c r="E256" s="34" t="s">
        <v>882</v>
      </c>
      <c r="F256" s="34" t="s">
        <v>1091</v>
      </c>
      <c r="G256" s="30" t="s">
        <v>883</v>
      </c>
    </row>
    <row r="257" spans="1:7" x14ac:dyDescent="0.2">
      <c r="A257" s="30" t="s">
        <v>884</v>
      </c>
      <c r="B257" s="38">
        <v>67.77</v>
      </c>
      <c r="C257" s="38">
        <v>5.92</v>
      </c>
      <c r="D257" s="30" t="s">
        <v>40</v>
      </c>
      <c r="E257" s="34" t="s">
        <v>52</v>
      </c>
      <c r="F257" s="34" t="s">
        <v>53</v>
      </c>
      <c r="G257" s="30" t="s">
        <v>546</v>
      </c>
    </row>
    <row r="258" spans="1:7" x14ac:dyDescent="0.2">
      <c r="A258" s="30" t="s">
        <v>885</v>
      </c>
      <c r="B258" s="38">
        <f>62+10.41/60</f>
        <v>62.173499999999997</v>
      </c>
      <c r="C258" s="38">
        <f>5+58.16/60</f>
        <v>5.9693333333333332</v>
      </c>
      <c r="D258" s="30" t="s">
        <v>40</v>
      </c>
      <c r="E258" s="34" t="s">
        <v>880</v>
      </c>
      <c r="F258" s="34" t="s">
        <v>886</v>
      </c>
      <c r="G258" s="30" t="s">
        <v>543</v>
      </c>
    </row>
    <row r="259" spans="1:7" x14ac:dyDescent="0.2">
      <c r="A259" s="30" t="s">
        <v>887</v>
      </c>
      <c r="B259" s="38">
        <v>60.11</v>
      </c>
      <c r="C259" s="38">
        <v>-6.07</v>
      </c>
      <c r="D259" s="30" t="s">
        <v>40</v>
      </c>
      <c r="E259" s="34" t="s">
        <v>52</v>
      </c>
      <c r="F259" s="34" t="s">
        <v>888</v>
      </c>
      <c r="G259" s="30" t="s">
        <v>546</v>
      </c>
    </row>
    <row r="260" spans="1:7" x14ac:dyDescent="0.2">
      <c r="A260" s="30" t="s">
        <v>889</v>
      </c>
      <c r="B260" s="38">
        <v>69.430000000000007</v>
      </c>
      <c r="C260" s="38">
        <v>13.12</v>
      </c>
      <c r="D260" s="30" t="s">
        <v>40</v>
      </c>
      <c r="E260" s="34" t="s">
        <v>217</v>
      </c>
      <c r="F260" s="34" t="s">
        <v>890</v>
      </c>
      <c r="G260" s="30" t="s">
        <v>556</v>
      </c>
    </row>
    <row r="261" spans="1:7" x14ac:dyDescent="0.2">
      <c r="A261" s="30" t="s">
        <v>891</v>
      </c>
      <c r="B261" s="38">
        <v>59.49</v>
      </c>
      <c r="C261" s="38">
        <v>-39.31</v>
      </c>
      <c r="D261" s="30" t="s">
        <v>40</v>
      </c>
      <c r="E261" s="34" t="s">
        <v>52</v>
      </c>
      <c r="F261" s="34" t="s">
        <v>892</v>
      </c>
      <c r="G261" s="30" t="s">
        <v>556</v>
      </c>
    </row>
    <row r="262" spans="1:7" x14ac:dyDescent="0.2">
      <c r="A262" s="30" t="s">
        <v>893</v>
      </c>
      <c r="B262" s="38">
        <v>58.94</v>
      </c>
      <c r="C262" s="38">
        <v>-28.74</v>
      </c>
      <c r="D262" s="30" t="s">
        <v>40</v>
      </c>
      <c r="E262" s="34" t="s">
        <v>52</v>
      </c>
      <c r="F262" s="34" t="s">
        <v>892</v>
      </c>
      <c r="G262" s="30" t="s">
        <v>543</v>
      </c>
    </row>
    <row r="263" spans="1:7" x14ac:dyDescent="0.2">
      <c r="A263" s="30" t="s">
        <v>894</v>
      </c>
      <c r="B263" s="38">
        <v>78.900000000000006</v>
      </c>
      <c r="C263" s="38">
        <v>0.28000000000000003</v>
      </c>
      <c r="D263" s="30" t="s">
        <v>40</v>
      </c>
      <c r="E263" s="34" t="s">
        <v>880</v>
      </c>
      <c r="F263" s="34" t="s">
        <v>895</v>
      </c>
      <c r="G263" s="30" t="s">
        <v>546</v>
      </c>
    </row>
    <row r="264" spans="1:7" x14ac:dyDescent="0.2">
      <c r="A264" s="30" t="s">
        <v>896</v>
      </c>
      <c r="B264" s="38">
        <v>78.900000000000006</v>
      </c>
      <c r="C264" s="38">
        <v>15.16</v>
      </c>
      <c r="D264" s="30" t="s">
        <v>40</v>
      </c>
      <c r="E264" s="34" t="s">
        <v>52</v>
      </c>
      <c r="F264" s="34" t="s">
        <v>53</v>
      </c>
      <c r="G264" s="30" t="s">
        <v>556</v>
      </c>
    </row>
    <row r="265" spans="1:7" x14ac:dyDescent="0.2">
      <c r="A265" s="30" t="s">
        <v>897</v>
      </c>
      <c r="B265" s="38">
        <v>78.34</v>
      </c>
      <c r="C265" s="38">
        <v>15.3</v>
      </c>
      <c r="D265" s="30" t="s">
        <v>40</v>
      </c>
      <c r="E265" s="34" t="s">
        <v>880</v>
      </c>
      <c r="F265" s="34" t="s">
        <v>898</v>
      </c>
      <c r="G265" s="30" t="s">
        <v>546</v>
      </c>
    </row>
    <row r="266" spans="1:7" x14ac:dyDescent="0.2">
      <c r="A266" s="30" t="s">
        <v>899</v>
      </c>
      <c r="B266" s="38">
        <v>78.94</v>
      </c>
      <c r="C266" s="38">
        <v>11.82</v>
      </c>
      <c r="D266" s="30" t="s">
        <v>19</v>
      </c>
      <c r="E266" s="34" t="s">
        <v>900</v>
      </c>
      <c r="F266" s="34" t="s">
        <v>901</v>
      </c>
      <c r="G266" s="30" t="s">
        <v>902</v>
      </c>
    </row>
    <row r="267" spans="1:7" x14ac:dyDescent="0.2">
      <c r="A267" s="30" t="s">
        <v>903</v>
      </c>
      <c r="B267" s="38">
        <v>78.02</v>
      </c>
      <c r="C267" s="38">
        <v>13.97</v>
      </c>
      <c r="D267" s="30" t="s">
        <v>19</v>
      </c>
      <c r="E267" s="34" t="s">
        <v>144</v>
      </c>
      <c r="F267" s="34" t="s">
        <v>1092</v>
      </c>
      <c r="G267" s="30" t="s">
        <v>904</v>
      </c>
    </row>
    <row r="268" spans="1:7" x14ac:dyDescent="0.2">
      <c r="A268" s="30" t="s">
        <v>905</v>
      </c>
      <c r="B268" s="38">
        <v>66.239999999999995</v>
      </c>
      <c r="C268" s="38">
        <v>-15.81</v>
      </c>
      <c r="D268" s="30" t="s">
        <v>19</v>
      </c>
      <c r="E268" s="34" t="s">
        <v>59</v>
      </c>
      <c r="F268" s="34" t="s">
        <v>906</v>
      </c>
      <c r="G268" s="30" t="s">
        <v>556</v>
      </c>
    </row>
    <row r="269" spans="1:7" x14ac:dyDescent="0.2">
      <c r="A269" s="30" t="s">
        <v>907</v>
      </c>
      <c r="B269" s="38">
        <v>78.849999999999994</v>
      </c>
      <c r="C269" s="38">
        <v>17.420000000000002</v>
      </c>
      <c r="D269" s="30" t="s">
        <v>76</v>
      </c>
      <c r="E269" s="34" t="s">
        <v>880</v>
      </c>
      <c r="F269" s="34" t="s">
        <v>908</v>
      </c>
      <c r="G269" s="30" t="s">
        <v>909</v>
      </c>
    </row>
    <row r="270" spans="1:7" x14ac:dyDescent="0.2">
      <c r="A270" s="30" t="s">
        <v>1314</v>
      </c>
      <c r="B270" s="38">
        <v>61.91</v>
      </c>
      <c r="C270" s="38">
        <v>-6.83</v>
      </c>
      <c r="D270" s="30" t="s">
        <v>19</v>
      </c>
      <c r="E270" s="34" t="s">
        <v>1315</v>
      </c>
      <c r="F270" s="30" t="s">
        <v>1312</v>
      </c>
      <c r="G270" s="36" t="s">
        <v>543</v>
      </c>
    </row>
    <row r="271" spans="1:7" x14ac:dyDescent="0.2">
      <c r="A271" s="30" t="s">
        <v>492</v>
      </c>
      <c r="B271" s="38">
        <v>66.64</v>
      </c>
      <c r="C271" s="38">
        <v>-20.86</v>
      </c>
      <c r="D271" s="30" t="s">
        <v>40</v>
      </c>
      <c r="E271" s="34" t="s">
        <v>52</v>
      </c>
      <c r="F271" s="34" t="s">
        <v>878</v>
      </c>
      <c r="G271" s="30" t="s">
        <v>543</v>
      </c>
    </row>
    <row r="272" spans="1:7" x14ac:dyDescent="0.2">
      <c r="A272" s="30" t="s">
        <v>910</v>
      </c>
      <c r="B272" s="38">
        <v>77.62</v>
      </c>
      <c r="C272" s="38">
        <v>-9.9499999999999993</v>
      </c>
      <c r="D272" s="30" t="s">
        <v>40</v>
      </c>
      <c r="E272" s="34" t="s">
        <v>149</v>
      </c>
      <c r="F272" s="34" t="s">
        <v>472</v>
      </c>
      <c r="G272" s="30" t="s">
        <v>556</v>
      </c>
    </row>
    <row r="273" spans="1:19" s="27" customFormat="1" x14ac:dyDescent="0.2">
      <c r="A273" s="30" t="s">
        <v>1068</v>
      </c>
      <c r="B273" s="38">
        <f>66+13.77/60</f>
        <v>66.229500000000002</v>
      </c>
      <c r="C273" s="38">
        <f>-(23+15.93/60)</f>
        <v>-23.265499999999999</v>
      </c>
      <c r="D273" s="30" t="s">
        <v>40</v>
      </c>
      <c r="E273" s="34" t="s">
        <v>880</v>
      </c>
      <c r="F273" s="58" t="s">
        <v>1078</v>
      </c>
      <c r="G273" s="30" t="s">
        <v>559</v>
      </c>
      <c r="H273" s="30"/>
      <c r="I273" s="30"/>
      <c r="J273" s="30"/>
      <c r="K273" s="30"/>
      <c r="L273" s="30"/>
      <c r="M273" s="30"/>
      <c r="N273" s="30"/>
      <c r="O273" s="30"/>
      <c r="P273" s="30"/>
      <c r="Q273" s="30"/>
      <c r="R273" s="30"/>
      <c r="S273" s="30"/>
    </row>
    <row r="274" spans="1:19" s="27" customFormat="1" x14ac:dyDescent="0.2">
      <c r="A274" s="30" t="s">
        <v>1069</v>
      </c>
      <c r="B274" s="38">
        <v>66.551000000000002</v>
      </c>
      <c r="C274" s="38">
        <v>-17.699000000000002</v>
      </c>
      <c r="D274" s="30" t="s">
        <v>40</v>
      </c>
      <c r="E274" s="34" t="s">
        <v>1070</v>
      </c>
      <c r="F274" s="58" t="s">
        <v>1079</v>
      </c>
      <c r="G274" s="30" t="s">
        <v>559</v>
      </c>
      <c r="H274" s="30"/>
      <c r="I274" s="30"/>
      <c r="J274" s="30"/>
      <c r="K274" s="30"/>
      <c r="L274" s="30"/>
      <c r="M274" s="30"/>
      <c r="N274" s="30"/>
      <c r="O274" s="30"/>
      <c r="P274" s="30"/>
      <c r="Q274" s="30"/>
      <c r="R274" s="30"/>
      <c r="S274" s="30"/>
    </row>
    <row r="275" spans="1:19" x14ac:dyDescent="0.2">
      <c r="A275" s="30" t="s">
        <v>911</v>
      </c>
      <c r="B275" s="38">
        <v>78.92</v>
      </c>
      <c r="C275" s="38">
        <v>6.77</v>
      </c>
      <c r="D275" s="30" t="s">
        <v>40</v>
      </c>
      <c r="E275" s="34" t="s">
        <v>149</v>
      </c>
      <c r="F275" s="34" t="s">
        <v>912</v>
      </c>
      <c r="G275" s="30" t="s">
        <v>913</v>
      </c>
    </row>
    <row r="276" spans="1:19" x14ac:dyDescent="0.2">
      <c r="A276" s="30" t="s">
        <v>914</v>
      </c>
      <c r="B276" s="38">
        <v>79.05</v>
      </c>
      <c r="C276" s="38">
        <v>11.09</v>
      </c>
      <c r="D276" s="30" t="s">
        <v>40</v>
      </c>
      <c r="E276" s="34" t="s">
        <v>149</v>
      </c>
      <c r="F276" s="34" t="s">
        <v>915</v>
      </c>
      <c r="G276" s="30" t="s">
        <v>916</v>
      </c>
    </row>
    <row r="277" spans="1:19" x14ac:dyDescent="0.2">
      <c r="A277" s="30" t="s">
        <v>917</v>
      </c>
      <c r="B277" s="38">
        <v>80.36</v>
      </c>
      <c r="C277" s="38">
        <v>16.3</v>
      </c>
      <c r="D277" s="30" t="s">
        <v>40</v>
      </c>
      <c r="E277" s="34" t="s">
        <v>149</v>
      </c>
      <c r="F277" s="34" t="s">
        <v>915</v>
      </c>
      <c r="G277" s="30" t="s">
        <v>918</v>
      </c>
    </row>
    <row r="278" spans="1:19" x14ac:dyDescent="0.2">
      <c r="A278" s="30" t="s">
        <v>919</v>
      </c>
      <c r="B278" s="38">
        <v>66.06</v>
      </c>
      <c r="C278" s="38">
        <v>-20.38</v>
      </c>
      <c r="D278" s="30" t="s">
        <v>19</v>
      </c>
      <c r="E278" s="34" t="s">
        <v>920</v>
      </c>
      <c r="F278" s="34" t="s">
        <v>906</v>
      </c>
      <c r="G278" s="30" t="s">
        <v>556</v>
      </c>
    </row>
    <row r="279" spans="1:19" x14ac:dyDescent="0.2">
      <c r="A279" s="30" t="s">
        <v>921</v>
      </c>
      <c r="B279" s="38">
        <v>66.06</v>
      </c>
      <c r="C279" s="38">
        <v>-20.38</v>
      </c>
      <c r="D279" s="30" t="s">
        <v>19</v>
      </c>
      <c r="E279" s="34" t="s">
        <v>59</v>
      </c>
      <c r="F279" s="34" t="s">
        <v>906</v>
      </c>
      <c r="G279" s="30" t="s">
        <v>556</v>
      </c>
    </row>
    <row r="280" spans="1:19" x14ac:dyDescent="0.2">
      <c r="B280" s="38"/>
      <c r="C280" s="38"/>
      <c r="E280" s="34"/>
    </row>
    <row r="281" spans="1:19" s="4" customFormat="1" ht="14" x14ac:dyDescent="0.15">
      <c r="A281" s="32" t="s">
        <v>524</v>
      </c>
      <c r="B281" s="42"/>
      <c r="C281" s="42"/>
      <c r="D281" s="29"/>
      <c r="E281" s="46"/>
      <c r="F281" s="46"/>
      <c r="G281" s="29"/>
      <c r="H281" s="29"/>
      <c r="I281" s="29"/>
      <c r="J281" s="29"/>
      <c r="K281" s="29"/>
      <c r="L281" s="29"/>
      <c r="M281" s="29"/>
      <c r="N281" s="29"/>
      <c r="O281" s="29"/>
      <c r="P281" s="29"/>
      <c r="Q281" s="29"/>
      <c r="R281" s="29"/>
      <c r="S281" s="29"/>
    </row>
    <row r="282" spans="1:19" x14ac:dyDescent="0.2">
      <c r="A282" s="30" t="s">
        <v>922</v>
      </c>
      <c r="B282" s="38">
        <v>73.2</v>
      </c>
      <c r="C282" s="38">
        <v>124.62</v>
      </c>
      <c r="D282" s="30" t="s">
        <v>19</v>
      </c>
      <c r="E282" s="34" t="s">
        <v>217</v>
      </c>
      <c r="F282" s="34" t="s">
        <v>923</v>
      </c>
      <c r="G282" s="30" t="s">
        <v>787</v>
      </c>
    </row>
    <row r="283" spans="1:19" x14ac:dyDescent="0.2">
      <c r="A283" s="30" t="s">
        <v>924</v>
      </c>
      <c r="B283" s="38">
        <v>65.28</v>
      </c>
      <c r="C283" s="38">
        <v>126.78</v>
      </c>
      <c r="D283" s="30" t="s">
        <v>19</v>
      </c>
      <c r="E283" s="34" t="s">
        <v>20</v>
      </c>
      <c r="F283" s="34" t="s">
        <v>1298</v>
      </c>
      <c r="G283" s="30" t="s">
        <v>546</v>
      </c>
    </row>
    <row r="284" spans="1:19" x14ac:dyDescent="0.2">
      <c r="A284" s="45" t="s">
        <v>1268</v>
      </c>
      <c r="B284" s="39">
        <v>70.666669999999996</v>
      </c>
      <c r="C284" s="39">
        <v>156.75</v>
      </c>
      <c r="D284" s="36" t="s">
        <v>19</v>
      </c>
      <c r="E284" s="34" t="s">
        <v>20</v>
      </c>
      <c r="F284" s="48" t="s">
        <v>1180</v>
      </c>
      <c r="G284" s="36" t="s">
        <v>559</v>
      </c>
    </row>
    <row r="285" spans="1:19" x14ac:dyDescent="0.2">
      <c r="A285" s="36" t="s">
        <v>1153</v>
      </c>
      <c r="B285" s="39">
        <v>67.833330000000004</v>
      </c>
      <c r="C285" s="39">
        <v>135.11667</v>
      </c>
      <c r="D285" s="36" t="s">
        <v>19</v>
      </c>
      <c r="E285" s="34" t="s">
        <v>20</v>
      </c>
      <c r="F285" s="48" t="s">
        <v>1180</v>
      </c>
      <c r="G285" s="36" t="s">
        <v>559</v>
      </c>
    </row>
    <row r="286" spans="1:19" s="36" customFormat="1" ht="15" x14ac:dyDescent="0.15">
      <c r="A286" s="36" t="s">
        <v>1163</v>
      </c>
      <c r="B286" s="36">
        <v>58.25</v>
      </c>
      <c r="C286" s="39">
        <v>85.3</v>
      </c>
      <c r="D286" s="36" t="s">
        <v>1159</v>
      </c>
      <c r="E286" s="34" t="s">
        <v>20</v>
      </c>
      <c r="F286" s="48" t="s">
        <v>1165</v>
      </c>
      <c r="G286" s="36" t="s">
        <v>1164</v>
      </c>
    </row>
    <row r="287" spans="1:19" x14ac:dyDescent="0.2">
      <c r="A287" s="30" t="s">
        <v>925</v>
      </c>
      <c r="B287" s="38">
        <v>74.55</v>
      </c>
      <c r="C287" s="38">
        <v>100.53</v>
      </c>
      <c r="D287" s="30" t="s">
        <v>19</v>
      </c>
      <c r="E287" s="34" t="s">
        <v>20</v>
      </c>
      <c r="F287" s="34" t="s">
        <v>926</v>
      </c>
      <c r="G287" s="30" t="s">
        <v>559</v>
      </c>
    </row>
    <row r="288" spans="1:19" x14ac:dyDescent="0.2">
      <c r="A288" s="30" t="s">
        <v>1166</v>
      </c>
      <c r="B288" s="38">
        <v>64</v>
      </c>
      <c r="C288" s="38">
        <v>120</v>
      </c>
      <c r="D288" s="30" t="s">
        <v>1167</v>
      </c>
      <c r="E288" s="48" t="s">
        <v>20</v>
      </c>
      <c r="F288" s="49" t="s">
        <v>1182</v>
      </c>
      <c r="G288" s="1" t="s">
        <v>1238</v>
      </c>
      <c r="R288" s="35"/>
      <c r="S288" s="35"/>
    </row>
    <row r="289" spans="1:17" x14ac:dyDescent="0.2">
      <c r="A289" s="36" t="s">
        <v>1152</v>
      </c>
      <c r="B289" s="39">
        <v>61.983330000000002</v>
      </c>
      <c r="C289" s="39">
        <v>129.36670000000001</v>
      </c>
      <c r="D289" s="36" t="s">
        <v>19</v>
      </c>
      <c r="E289" s="34" t="s">
        <v>20</v>
      </c>
      <c r="F289" s="57" t="s">
        <v>1231</v>
      </c>
      <c r="G289" s="36" t="s">
        <v>559</v>
      </c>
    </row>
    <row r="290" spans="1:17" ht="31" x14ac:dyDescent="0.2">
      <c r="A290" s="36" t="s">
        <v>1149</v>
      </c>
      <c r="B290" s="39">
        <v>60</v>
      </c>
      <c r="C290" s="39">
        <v>66.5</v>
      </c>
      <c r="D290" s="36" t="s">
        <v>19</v>
      </c>
      <c r="E290" s="34" t="s">
        <v>20</v>
      </c>
      <c r="F290" s="57" t="s">
        <v>1232</v>
      </c>
      <c r="G290" s="36" t="s">
        <v>559</v>
      </c>
    </row>
    <row r="291" spans="1:17" x14ac:dyDescent="0.2">
      <c r="A291" s="36" t="s">
        <v>1251</v>
      </c>
      <c r="B291" s="39">
        <v>59.55</v>
      </c>
      <c r="C291" s="39">
        <v>151.83332999999999</v>
      </c>
      <c r="D291" s="36" t="s">
        <v>19</v>
      </c>
      <c r="E291" s="34" t="s">
        <v>20</v>
      </c>
      <c r="F291" s="57" t="s">
        <v>1357</v>
      </c>
      <c r="G291" s="36" t="s">
        <v>559</v>
      </c>
    </row>
    <row r="292" spans="1:17" s="36" customFormat="1" ht="15" x14ac:dyDescent="0.15">
      <c r="A292" s="36" t="s">
        <v>1158</v>
      </c>
      <c r="B292" s="39">
        <v>65.037999999999997</v>
      </c>
      <c r="C292" s="39">
        <v>125.03700000000001</v>
      </c>
      <c r="D292" s="36" t="s">
        <v>1159</v>
      </c>
      <c r="E292" s="48" t="s">
        <v>618</v>
      </c>
      <c r="F292" s="48" t="s">
        <v>1160</v>
      </c>
      <c r="G292" s="45" t="s">
        <v>1239</v>
      </c>
    </row>
    <row r="293" spans="1:17" x14ac:dyDescent="0.2">
      <c r="A293" s="30" t="s">
        <v>927</v>
      </c>
      <c r="B293" s="38">
        <v>69.23</v>
      </c>
      <c r="C293" s="38">
        <v>86.57</v>
      </c>
      <c r="D293" s="30" t="s">
        <v>19</v>
      </c>
      <c r="E293" s="34" t="s">
        <v>609</v>
      </c>
      <c r="F293" s="34" t="s">
        <v>527</v>
      </c>
      <c r="G293" s="30" t="s">
        <v>556</v>
      </c>
    </row>
    <row r="294" spans="1:17" x14ac:dyDescent="0.2">
      <c r="A294" s="30" t="s">
        <v>928</v>
      </c>
      <c r="B294" s="38">
        <v>67.3</v>
      </c>
      <c r="C294" s="38">
        <v>172</v>
      </c>
      <c r="D294" s="30" t="s">
        <v>19</v>
      </c>
      <c r="E294" s="34" t="s">
        <v>86</v>
      </c>
      <c r="F294" s="34" t="s">
        <v>929</v>
      </c>
      <c r="G294" s="30" t="s">
        <v>546</v>
      </c>
    </row>
    <row r="295" spans="1:17" ht="31" x14ac:dyDescent="0.2">
      <c r="A295" s="36" t="s">
        <v>1252</v>
      </c>
      <c r="B295" s="39">
        <v>62.083329999999997</v>
      </c>
      <c r="C295" s="39">
        <v>149</v>
      </c>
      <c r="D295" s="30" t="s">
        <v>19</v>
      </c>
      <c r="E295" s="34" t="s">
        <v>20</v>
      </c>
      <c r="F295" s="57" t="s">
        <v>1360</v>
      </c>
      <c r="G295" s="36" t="s">
        <v>559</v>
      </c>
    </row>
    <row r="296" spans="1:17" ht="27" customHeight="1" x14ac:dyDescent="0.2">
      <c r="A296" s="36" t="s">
        <v>1253</v>
      </c>
      <c r="B296" s="39">
        <v>60.75</v>
      </c>
      <c r="C296" s="39">
        <v>151.88333</v>
      </c>
      <c r="D296" s="30" t="s">
        <v>19</v>
      </c>
      <c r="E296" s="34" t="s">
        <v>20</v>
      </c>
      <c r="F296" s="57" t="s">
        <v>1181</v>
      </c>
      <c r="G296" s="36" t="s">
        <v>559</v>
      </c>
    </row>
    <row r="297" spans="1:17" s="35" customFormat="1" x14ac:dyDescent="0.2">
      <c r="A297" s="30" t="s">
        <v>1168</v>
      </c>
      <c r="B297" s="38">
        <v>61</v>
      </c>
      <c r="C297" s="38">
        <v>79</v>
      </c>
      <c r="D297" s="30" t="s">
        <v>19</v>
      </c>
      <c r="E297" s="48" t="s">
        <v>20</v>
      </c>
      <c r="F297" s="34" t="s">
        <v>1182</v>
      </c>
      <c r="G297" s="30" t="s">
        <v>546</v>
      </c>
      <c r="H297" s="36"/>
      <c r="I297" s="36"/>
      <c r="J297" s="36"/>
      <c r="K297" s="36"/>
      <c r="L297" s="36"/>
      <c r="M297" s="36"/>
      <c r="N297" s="36"/>
      <c r="O297" s="36"/>
      <c r="P297" s="36"/>
      <c r="Q297" s="36"/>
    </row>
    <row r="298" spans="1:17" ht="31" x14ac:dyDescent="0.2">
      <c r="A298" s="36" t="s">
        <v>1151</v>
      </c>
      <c r="B298" s="39">
        <v>59</v>
      </c>
      <c r="C298" s="39">
        <v>78.333330000000004</v>
      </c>
      <c r="D298" s="30" t="s">
        <v>19</v>
      </c>
      <c r="E298" s="34" t="s">
        <v>20</v>
      </c>
      <c r="F298" s="48" t="s">
        <v>1183</v>
      </c>
      <c r="G298" s="36" t="s">
        <v>559</v>
      </c>
    </row>
    <row r="299" spans="1:17" x14ac:dyDescent="0.2">
      <c r="A299" s="36" t="s">
        <v>1254</v>
      </c>
      <c r="B299" s="39">
        <v>63.383330000000001</v>
      </c>
      <c r="C299" s="39">
        <v>147.65</v>
      </c>
      <c r="D299" s="30" t="s">
        <v>19</v>
      </c>
      <c r="E299" s="34" t="s">
        <v>20</v>
      </c>
      <c r="F299" s="48" t="s">
        <v>1184</v>
      </c>
      <c r="G299" s="36" t="s">
        <v>559</v>
      </c>
    </row>
    <row r="300" spans="1:17" ht="31" x14ac:dyDescent="0.2">
      <c r="A300" s="36" t="s">
        <v>1255</v>
      </c>
      <c r="B300" s="39">
        <v>59.75</v>
      </c>
      <c r="C300" s="39">
        <v>149.91667000000001</v>
      </c>
      <c r="D300" s="30" t="s">
        <v>19</v>
      </c>
      <c r="E300" s="34" t="s">
        <v>20</v>
      </c>
      <c r="F300" s="89" t="s">
        <v>1358</v>
      </c>
      <c r="G300" s="36" t="s">
        <v>559</v>
      </c>
    </row>
    <row r="301" spans="1:17" x14ac:dyDescent="0.2">
      <c r="A301" s="36" t="s">
        <v>1256</v>
      </c>
      <c r="B301" s="39">
        <v>61.116669999999999</v>
      </c>
      <c r="C301" s="39">
        <v>152.26667</v>
      </c>
      <c r="D301" s="30" t="s">
        <v>19</v>
      </c>
      <c r="E301" s="34" t="s">
        <v>20</v>
      </c>
      <c r="F301" s="48" t="s">
        <v>1192</v>
      </c>
      <c r="G301" s="36" t="s">
        <v>559</v>
      </c>
    </row>
    <row r="302" spans="1:17" s="35" customFormat="1" x14ac:dyDescent="0.2">
      <c r="A302" s="30" t="s">
        <v>1169</v>
      </c>
      <c r="B302" s="38">
        <v>70</v>
      </c>
      <c r="C302" s="38">
        <v>149</v>
      </c>
      <c r="D302" s="30" t="s">
        <v>19</v>
      </c>
      <c r="E302" s="48" t="s">
        <v>20</v>
      </c>
      <c r="F302" s="34" t="s">
        <v>1182</v>
      </c>
      <c r="G302" s="1" t="s">
        <v>1238</v>
      </c>
      <c r="H302" s="36"/>
      <c r="I302" s="36"/>
      <c r="J302" s="36"/>
      <c r="K302" s="36"/>
      <c r="L302" s="36"/>
      <c r="M302" s="36"/>
      <c r="N302" s="36"/>
      <c r="O302" s="36"/>
      <c r="P302" s="36"/>
      <c r="Q302" s="36"/>
    </row>
    <row r="303" spans="1:17" x14ac:dyDescent="0.2">
      <c r="A303" s="36" t="s">
        <v>1257</v>
      </c>
      <c r="B303" s="39">
        <v>62.166670000000003</v>
      </c>
      <c r="C303" s="39">
        <v>149.5</v>
      </c>
      <c r="D303" s="30" t="s">
        <v>19</v>
      </c>
      <c r="E303" s="34" t="s">
        <v>20</v>
      </c>
      <c r="F303" s="48" t="s">
        <v>1187</v>
      </c>
      <c r="G303" s="36" t="s">
        <v>559</v>
      </c>
    </row>
    <row r="304" spans="1:17" x14ac:dyDescent="0.2">
      <c r="A304" s="36" t="s">
        <v>1258</v>
      </c>
      <c r="B304" s="39">
        <v>70.833330000000004</v>
      </c>
      <c r="C304" s="39">
        <v>-179.75</v>
      </c>
      <c r="D304" s="30" t="s">
        <v>19</v>
      </c>
      <c r="E304" s="34" t="s">
        <v>20</v>
      </c>
      <c r="F304" s="48" t="s">
        <v>1191</v>
      </c>
      <c r="G304" s="36" t="s">
        <v>559</v>
      </c>
    </row>
    <row r="305" spans="1:19" s="36" customFormat="1" ht="15" x14ac:dyDescent="0.15">
      <c r="A305" s="30" t="s">
        <v>1170</v>
      </c>
      <c r="B305" s="43">
        <v>63</v>
      </c>
      <c r="C305" s="43">
        <v>34</v>
      </c>
      <c r="D305" s="30" t="s">
        <v>19</v>
      </c>
      <c r="E305" s="48" t="s">
        <v>20</v>
      </c>
      <c r="F305" s="34" t="s">
        <v>1182</v>
      </c>
      <c r="G305" s="1" t="s">
        <v>1238</v>
      </c>
      <c r="H305" s="44"/>
      <c r="I305" s="44"/>
      <c r="J305" s="44"/>
      <c r="K305" s="44"/>
      <c r="L305" s="44"/>
      <c r="M305" s="44"/>
      <c r="N305" s="44"/>
      <c r="O305" s="44"/>
      <c r="P305" s="44"/>
      <c r="Q305" s="44"/>
      <c r="R305" s="44"/>
      <c r="S305" s="44"/>
    </row>
    <row r="306" spans="1:19" x14ac:dyDescent="0.2">
      <c r="A306" s="30" t="s">
        <v>930</v>
      </c>
      <c r="B306" s="38">
        <v>70.77</v>
      </c>
      <c r="C306" s="38">
        <v>136.25</v>
      </c>
      <c r="D306" s="30" t="s">
        <v>305</v>
      </c>
      <c r="E306" s="34" t="s">
        <v>20</v>
      </c>
      <c r="F306" s="34" t="s">
        <v>931</v>
      </c>
      <c r="G306" s="30" t="s">
        <v>611</v>
      </c>
    </row>
    <row r="307" spans="1:19" x14ac:dyDescent="0.2">
      <c r="A307" s="30" t="s">
        <v>932</v>
      </c>
      <c r="B307" s="38">
        <v>68</v>
      </c>
      <c r="C307" s="38">
        <v>60</v>
      </c>
      <c r="D307" s="30" t="s">
        <v>305</v>
      </c>
      <c r="E307" s="34" t="s">
        <v>20</v>
      </c>
      <c r="F307" s="34" t="s">
        <v>1300</v>
      </c>
      <c r="G307" s="30" t="s">
        <v>546</v>
      </c>
    </row>
    <row r="308" spans="1:19" ht="31" x14ac:dyDescent="0.2">
      <c r="A308" s="36" t="s">
        <v>1259</v>
      </c>
      <c r="B308" s="39">
        <v>63.82</v>
      </c>
      <c r="C308" s="39">
        <v>121.62</v>
      </c>
      <c r="D308" s="36" t="s">
        <v>19</v>
      </c>
      <c r="E308" s="34" t="s">
        <v>20</v>
      </c>
      <c r="F308" s="48" t="s">
        <v>1190</v>
      </c>
      <c r="G308" s="36" t="s">
        <v>559</v>
      </c>
    </row>
    <row r="309" spans="1:19" x14ac:dyDescent="0.2">
      <c r="A309" s="36" t="s">
        <v>1156</v>
      </c>
      <c r="B309" s="39">
        <v>62.666670000000003</v>
      </c>
      <c r="C309" s="39">
        <v>147.98333</v>
      </c>
      <c r="D309" s="36" t="s">
        <v>19</v>
      </c>
      <c r="E309" s="34" t="s">
        <v>20</v>
      </c>
      <c r="F309" s="57" t="s">
        <v>1355</v>
      </c>
      <c r="G309" s="36" t="s">
        <v>559</v>
      </c>
    </row>
    <row r="310" spans="1:19" x14ac:dyDescent="0.2">
      <c r="A310" s="36" t="s">
        <v>1154</v>
      </c>
      <c r="B310" s="39">
        <v>67.75</v>
      </c>
      <c r="C310" s="39">
        <v>135.58332999999999</v>
      </c>
      <c r="D310" s="36" t="s">
        <v>19</v>
      </c>
      <c r="E310" s="34" t="s">
        <v>20</v>
      </c>
      <c r="F310" s="48" t="s">
        <v>1180</v>
      </c>
      <c r="G310" s="36" t="s">
        <v>559</v>
      </c>
    </row>
    <row r="311" spans="1:19" x14ac:dyDescent="0.2">
      <c r="A311" s="45" t="s">
        <v>1338</v>
      </c>
      <c r="B311" s="39">
        <v>63.666670000000003</v>
      </c>
      <c r="C311" s="39">
        <v>123.25</v>
      </c>
      <c r="D311" s="36" t="s">
        <v>19</v>
      </c>
      <c r="E311" s="34" t="s">
        <v>20</v>
      </c>
      <c r="F311" s="34" t="s">
        <v>933</v>
      </c>
      <c r="G311" s="36" t="s">
        <v>559</v>
      </c>
    </row>
    <row r="312" spans="1:19" x14ac:dyDescent="0.2">
      <c r="A312" s="30" t="s">
        <v>934</v>
      </c>
      <c r="B312" s="38">
        <v>69.53</v>
      </c>
      <c r="C312" s="38">
        <v>90.2</v>
      </c>
      <c r="D312" s="36" t="s">
        <v>19</v>
      </c>
      <c r="E312" s="34" t="s">
        <v>853</v>
      </c>
      <c r="F312" s="34" t="s">
        <v>935</v>
      </c>
      <c r="G312" s="30" t="s">
        <v>546</v>
      </c>
    </row>
    <row r="313" spans="1:19" x14ac:dyDescent="0.2">
      <c r="A313" s="30" t="s">
        <v>1171</v>
      </c>
      <c r="B313" s="38">
        <v>60.2</v>
      </c>
      <c r="C313" s="38">
        <v>29.7</v>
      </c>
      <c r="D313" s="30" t="s">
        <v>1159</v>
      </c>
      <c r="E313" s="48" t="s">
        <v>20</v>
      </c>
      <c r="F313" s="34" t="s">
        <v>1185</v>
      </c>
      <c r="G313" s="1" t="s">
        <v>611</v>
      </c>
      <c r="R313" s="35"/>
      <c r="S313" s="35"/>
    </row>
    <row r="314" spans="1:19" x14ac:dyDescent="0.2">
      <c r="A314" s="36" t="s">
        <v>1260</v>
      </c>
      <c r="B314" s="39">
        <v>59.583329999999997</v>
      </c>
      <c r="C314" s="39">
        <v>151.86667</v>
      </c>
      <c r="D314" s="36" t="s">
        <v>19</v>
      </c>
      <c r="E314" s="48" t="s">
        <v>20</v>
      </c>
      <c r="F314" s="57" t="s">
        <v>1357</v>
      </c>
      <c r="G314" s="36" t="s">
        <v>559</v>
      </c>
    </row>
    <row r="315" spans="1:19" x14ac:dyDescent="0.2">
      <c r="A315" s="30" t="s">
        <v>936</v>
      </c>
      <c r="B315" s="38">
        <v>74.47</v>
      </c>
      <c r="C315" s="38">
        <v>98.63</v>
      </c>
      <c r="D315" s="36" t="s">
        <v>19</v>
      </c>
      <c r="E315" s="34" t="s">
        <v>20</v>
      </c>
      <c r="F315" s="34" t="s">
        <v>926</v>
      </c>
      <c r="G315" s="30" t="s">
        <v>546</v>
      </c>
    </row>
    <row r="316" spans="1:19" x14ac:dyDescent="0.2">
      <c r="A316" s="30" t="s">
        <v>937</v>
      </c>
      <c r="B316" s="38">
        <f>66+31/60</f>
        <v>66.516666666666666</v>
      </c>
      <c r="C316" s="38">
        <f>59+19/60</f>
        <v>59.31666666666667</v>
      </c>
      <c r="D316" s="36" t="s">
        <v>19</v>
      </c>
      <c r="E316" s="34" t="s">
        <v>20</v>
      </c>
      <c r="F316" s="34" t="s">
        <v>938</v>
      </c>
      <c r="G316" s="30" t="s">
        <v>546</v>
      </c>
    </row>
    <row r="317" spans="1:19" x14ac:dyDescent="0.2">
      <c r="A317" s="30" t="s">
        <v>939</v>
      </c>
      <c r="B317" s="38">
        <v>72.33</v>
      </c>
      <c r="C317" s="38">
        <v>129.5</v>
      </c>
      <c r="D317" s="30" t="s">
        <v>940</v>
      </c>
      <c r="E317" s="34" t="s">
        <v>1219</v>
      </c>
      <c r="F317" s="34" t="s">
        <v>941</v>
      </c>
      <c r="G317" s="30" t="s">
        <v>556</v>
      </c>
    </row>
    <row r="318" spans="1:19" x14ac:dyDescent="0.2">
      <c r="A318" s="30" t="s">
        <v>942</v>
      </c>
      <c r="B318" s="38">
        <v>70.37</v>
      </c>
      <c r="C318" s="38">
        <v>87.55</v>
      </c>
      <c r="D318" s="30" t="s">
        <v>19</v>
      </c>
      <c r="E318" s="34" t="s">
        <v>609</v>
      </c>
      <c r="F318" s="34" t="s">
        <v>527</v>
      </c>
      <c r="G318" s="30" t="s">
        <v>943</v>
      </c>
    </row>
    <row r="319" spans="1:19" x14ac:dyDescent="0.2">
      <c r="A319" s="30" t="s">
        <v>944</v>
      </c>
      <c r="B319" s="38">
        <f>73+20/60</f>
        <v>73.333333333333329</v>
      </c>
      <c r="C319" s="38">
        <f>124+12/60</f>
        <v>124.2</v>
      </c>
      <c r="D319" s="30" t="s">
        <v>19</v>
      </c>
      <c r="E319" s="34" t="s">
        <v>59</v>
      </c>
      <c r="F319" s="34" t="s">
        <v>945</v>
      </c>
      <c r="G319" s="30" t="s">
        <v>556</v>
      </c>
    </row>
    <row r="320" spans="1:19" x14ac:dyDescent="0.2">
      <c r="A320" s="30" t="s">
        <v>1172</v>
      </c>
      <c r="B320" s="30">
        <v>58.27</v>
      </c>
      <c r="C320" s="30">
        <v>31.3</v>
      </c>
      <c r="D320" s="30" t="s">
        <v>1159</v>
      </c>
      <c r="E320" s="48" t="s">
        <v>20</v>
      </c>
      <c r="F320" s="34" t="s">
        <v>1185</v>
      </c>
      <c r="G320" s="30" t="s">
        <v>1236</v>
      </c>
      <c r="R320" s="35"/>
      <c r="S320" s="35"/>
    </row>
    <row r="321" spans="1:17" x14ac:dyDescent="0.2">
      <c r="A321" s="36" t="s">
        <v>1148</v>
      </c>
      <c r="B321" s="39">
        <v>76.666659999999993</v>
      </c>
      <c r="C321" s="39">
        <v>62</v>
      </c>
      <c r="D321" s="30" t="s">
        <v>19</v>
      </c>
      <c r="E321" s="48" t="s">
        <v>20</v>
      </c>
      <c r="F321" s="48" t="s">
        <v>1189</v>
      </c>
      <c r="G321" s="36" t="s">
        <v>559</v>
      </c>
    </row>
    <row r="322" spans="1:17" ht="31" x14ac:dyDescent="0.2">
      <c r="A322" s="36" t="s">
        <v>1150</v>
      </c>
      <c r="B322" s="39">
        <v>61.25</v>
      </c>
      <c r="C322" s="39">
        <v>77</v>
      </c>
      <c r="D322" s="30" t="s">
        <v>19</v>
      </c>
      <c r="E322" s="48" t="s">
        <v>20</v>
      </c>
      <c r="F322" s="57" t="s">
        <v>1233</v>
      </c>
      <c r="G322" s="36" t="s">
        <v>559</v>
      </c>
    </row>
    <row r="323" spans="1:17" ht="31" x14ac:dyDescent="0.2">
      <c r="A323" s="36" t="s">
        <v>1261</v>
      </c>
      <c r="B323" s="39">
        <v>62.166670000000003</v>
      </c>
      <c r="C323" s="39">
        <v>149.5</v>
      </c>
      <c r="D323" s="30" t="s">
        <v>19</v>
      </c>
      <c r="E323" s="48" t="s">
        <v>20</v>
      </c>
      <c r="F323" s="74" t="s">
        <v>1280</v>
      </c>
      <c r="G323" s="36" t="s">
        <v>559</v>
      </c>
    </row>
    <row r="324" spans="1:17" s="35" customFormat="1" x14ac:dyDescent="0.2">
      <c r="A324" s="30" t="s">
        <v>1173</v>
      </c>
      <c r="B324" s="38">
        <v>63</v>
      </c>
      <c r="C324" s="38">
        <v>165</v>
      </c>
      <c r="D324" s="30" t="s">
        <v>19</v>
      </c>
      <c r="E324" s="48" t="s">
        <v>20</v>
      </c>
      <c r="F324" s="34" t="s">
        <v>1182</v>
      </c>
      <c r="G324" s="1" t="s">
        <v>1238</v>
      </c>
      <c r="H324" s="36"/>
      <c r="I324" s="36"/>
      <c r="J324" s="36"/>
      <c r="K324" s="36"/>
      <c r="L324" s="36"/>
      <c r="M324" s="36"/>
      <c r="N324" s="36"/>
      <c r="O324" s="36"/>
      <c r="P324" s="36"/>
      <c r="Q324" s="36"/>
    </row>
    <row r="325" spans="1:17" x14ac:dyDescent="0.2">
      <c r="A325" s="30" t="s">
        <v>946</v>
      </c>
      <c r="B325" s="38">
        <v>71.27</v>
      </c>
      <c r="C325" s="38">
        <v>42.61</v>
      </c>
      <c r="D325" s="30" t="s">
        <v>40</v>
      </c>
      <c r="E325" s="34" t="s">
        <v>52</v>
      </c>
      <c r="F325" s="34" t="s">
        <v>947</v>
      </c>
      <c r="G325" s="30" t="s">
        <v>948</v>
      </c>
    </row>
    <row r="326" spans="1:17" x14ac:dyDescent="0.2">
      <c r="A326" s="30" t="s">
        <v>949</v>
      </c>
      <c r="B326" s="38">
        <v>73.62</v>
      </c>
      <c r="C326" s="38">
        <v>50.72</v>
      </c>
      <c r="D326" s="30" t="s">
        <v>40</v>
      </c>
      <c r="E326" s="34" t="s">
        <v>52</v>
      </c>
      <c r="F326" s="34" t="s">
        <v>947</v>
      </c>
      <c r="G326" s="30" t="s">
        <v>543</v>
      </c>
    </row>
    <row r="327" spans="1:17" ht="31" x14ac:dyDescent="0.2">
      <c r="A327" s="36" t="s">
        <v>1262</v>
      </c>
      <c r="B327" s="39">
        <v>61.033329999999999</v>
      </c>
      <c r="C327" s="39">
        <v>151.71666999999999</v>
      </c>
      <c r="D327" s="36" t="s">
        <v>19</v>
      </c>
      <c r="E327" s="48" t="s">
        <v>20</v>
      </c>
      <c r="F327" s="48" t="s">
        <v>1188</v>
      </c>
      <c r="G327" s="36" t="s">
        <v>559</v>
      </c>
    </row>
    <row r="328" spans="1:17" x14ac:dyDescent="0.2">
      <c r="A328" s="30" t="s">
        <v>950</v>
      </c>
      <c r="B328" s="38">
        <v>66.7</v>
      </c>
      <c r="C328" s="38">
        <v>79.73</v>
      </c>
      <c r="D328" s="30" t="s">
        <v>19</v>
      </c>
      <c r="E328" s="34" t="s">
        <v>20</v>
      </c>
      <c r="F328" s="34" t="s">
        <v>933</v>
      </c>
      <c r="G328" s="30" t="s">
        <v>780</v>
      </c>
    </row>
    <row r="329" spans="1:17" x14ac:dyDescent="0.2">
      <c r="A329" s="36" t="s">
        <v>1263</v>
      </c>
      <c r="B329" s="39">
        <v>62.166670000000003</v>
      </c>
      <c r="C329" s="39">
        <v>149.5</v>
      </c>
      <c r="D329" s="36" t="s">
        <v>19</v>
      </c>
      <c r="E329" s="34" t="s">
        <v>20</v>
      </c>
      <c r="F329" s="48" t="s">
        <v>1187</v>
      </c>
      <c r="G329" s="36" t="s">
        <v>559</v>
      </c>
    </row>
    <row r="330" spans="1:17" s="35" customFormat="1" x14ac:dyDescent="0.2">
      <c r="A330" s="30" t="s">
        <v>1174</v>
      </c>
      <c r="B330" s="38">
        <v>60.5</v>
      </c>
      <c r="C330" s="38">
        <v>30</v>
      </c>
      <c r="D330" s="30" t="s">
        <v>1159</v>
      </c>
      <c r="E330" s="48" t="s">
        <v>20</v>
      </c>
      <c r="F330" s="34" t="s">
        <v>1185</v>
      </c>
      <c r="G330" s="30" t="s">
        <v>1236</v>
      </c>
      <c r="H330" s="36"/>
      <c r="I330" s="36"/>
      <c r="J330" s="36"/>
      <c r="K330" s="36"/>
      <c r="L330" s="36"/>
      <c r="M330" s="36"/>
      <c r="N330" s="36"/>
      <c r="O330" s="36"/>
      <c r="P330" s="36"/>
      <c r="Q330" s="36"/>
    </row>
    <row r="331" spans="1:17" s="36" customFormat="1" ht="15" x14ac:dyDescent="0.15">
      <c r="A331" s="36" t="s">
        <v>1161</v>
      </c>
      <c r="B331" s="36">
        <v>60.167000000000002</v>
      </c>
      <c r="C331" s="36">
        <v>72.832999999999998</v>
      </c>
      <c r="D331" s="36" t="s">
        <v>1159</v>
      </c>
      <c r="E331" s="34" t="s">
        <v>20</v>
      </c>
      <c r="F331" s="57" t="s">
        <v>1350</v>
      </c>
      <c r="G331" s="36" t="s">
        <v>1162</v>
      </c>
    </row>
    <row r="332" spans="1:17" s="35" customFormat="1" x14ac:dyDescent="0.2">
      <c r="A332" s="30" t="s">
        <v>1175</v>
      </c>
      <c r="B332" s="38">
        <v>64</v>
      </c>
      <c r="C332" s="38">
        <v>43</v>
      </c>
      <c r="D332" s="30" t="s">
        <v>19</v>
      </c>
      <c r="E332" s="48" t="s">
        <v>20</v>
      </c>
      <c r="F332" s="34" t="s">
        <v>1182</v>
      </c>
      <c r="G332" s="30" t="s">
        <v>546</v>
      </c>
      <c r="H332" s="36"/>
      <c r="I332" s="36"/>
      <c r="J332" s="36"/>
      <c r="K332" s="36"/>
      <c r="L332" s="36"/>
      <c r="M332" s="36"/>
      <c r="N332" s="36"/>
      <c r="O332" s="36"/>
      <c r="P332" s="36"/>
      <c r="Q332" s="36"/>
    </row>
    <row r="333" spans="1:17" x14ac:dyDescent="0.2">
      <c r="A333" s="36" t="s">
        <v>1155</v>
      </c>
      <c r="B333" s="39">
        <v>69.113889999999998</v>
      </c>
      <c r="C333" s="39">
        <v>138.05556000000001</v>
      </c>
      <c r="D333" s="36" t="s">
        <v>19</v>
      </c>
      <c r="E333" s="34" t="s">
        <v>20</v>
      </c>
      <c r="F333" s="57" t="s">
        <v>1234</v>
      </c>
      <c r="G333" s="36" t="s">
        <v>559</v>
      </c>
    </row>
    <row r="334" spans="1:17" s="35" customFormat="1" x14ac:dyDescent="0.2">
      <c r="A334" s="30" t="s">
        <v>1176</v>
      </c>
      <c r="B334" s="38">
        <v>59</v>
      </c>
      <c r="C334" s="38">
        <v>32</v>
      </c>
      <c r="D334" s="30" t="s">
        <v>1159</v>
      </c>
      <c r="E334" s="48" t="s">
        <v>20</v>
      </c>
      <c r="F334" s="49" t="s">
        <v>1185</v>
      </c>
      <c r="G334" s="30" t="s">
        <v>1236</v>
      </c>
      <c r="H334" s="36"/>
      <c r="I334" s="36"/>
      <c r="J334" s="36"/>
      <c r="K334" s="36"/>
      <c r="L334" s="36"/>
      <c r="M334" s="36"/>
      <c r="N334" s="36"/>
      <c r="O334" s="36"/>
      <c r="P334" s="36"/>
      <c r="Q334" s="36"/>
    </row>
    <row r="335" spans="1:17" ht="15" customHeight="1" x14ac:dyDescent="0.2">
      <c r="A335" s="36" t="s">
        <v>1264</v>
      </c>
      <c r="B335" s="39">
        <v>64.766670000000005</v>
      </c>
      <c r="C335" s="39">
        <v>141.11667</v>
      </c>
      <c r="D335" s="36" t="s">
        <v>19</v>
      </c>
      <c r="E335" s="34" t="s">
        <v>20</v>
      </c>
      <c r="F335" s="57" t="s">
        <v>1235</v>
      </c>
      <c r="G335" s="36" t="s">
        <v>559</v>
      </c>
    </row>
    <row r="336" spans="1:17" x14ac:dyDescent="0.2">
      <c r="A336" s="36" t="s">
        <v>1265</v>
      </c>
      <c r="B336" s="39">
        <v>62.166666999999997</v>
      </c>
      <c r="C336" s="39">
        <v>149.5</v>
      </c>
      <c r="D336" s="36" t="s">
        <v>19</v>
      </c>
      <c r="E336" s="34" t="s">
        <v>20</v>
      </c>
      <c r="F336" s="48" t="s">
        <v>1187</v>
      </c>
      <c r="G336" s="36" t="s">
        <v>559</v>
      </c>
    </row>
    <row r="337" spans="1:17" s="35" customFormat="1" x14ac:dyDescent="0.2">
      <c r="A337" s="30" t="s">
        <v>1177</v>
      </c>
      <c r="B337" s="38">
        <v>61.7</v>
      </c>
      <c r="C337" s="38">
        <v>30.6</v>
      </c>
      <c r="D337" s="30" t="s">
        <v>1159</v>
      </c>
      <c r="E337" s="48" t="s">
        <v>20</v>
      </c>
      <c r="F337" s="34" t="s">
        <v>1185</v>
      </c>
      <c r="G337" s="30" t="s">
        <v>1236</v>
      </c>
      <c r="H337" s="36"/>
      <c r="I337" s="36"/>
      <c r="J337" s="36"/>
      <c r="K337" s="36"/>
      <c r="L337" s="36"/>
      <c r="M337" s="36"/>
      <c r="N337" s="36"/>
      <c r="O337" s="36"/>
      <c r="P337" s="36"/>
      <c r="Q337" s="36"/>
    </row>
    <row r="338" spans="1:17" x14ac:dyDescent="0.2">
      <c r="A338" s="36" t="s">
        <v>1266</v>
      </c>
      <c r="B338" s="39">
        <v>61.016669999999998</v>
      </c>
      <c r="C338" s="39">
        <v>152.33332999999999</v>
      </c>
      <c r="D338" s="36" t="s">
        <v>19</v>
      </c>
      <c r="E338" s="34" t="s">
        <v>20</v>
      </c>
      <c r="F338" s="48" t="s">
        <v>1186</v>
      </c>
      <c r="G338" s="36" t="s">
        <v>559</v>
      </c>
    </row>
    <row r="339" spans="1:17" x14ac:dyDescent="0.2">
      <c r="A339" s="30" t="s">
        <v>951</v>
      </c>
      <c r="B339" s="38">
        <v>70.77</v>
      </c>
      <c r="C339" s="38">
        <v>99.13</v>
      </c>
      <c r="D339" s="30" t="s">
        <v>305</v>
      </c>
      <c r="E339" s="34" t="s">
        <v>20</v>
      </c>
      <c r="F339" s="34" t="s">
        <v>933</v>
      </c>
      <c r="G339" s="30" t="s">
        <v>546</v>
      </c>
    </row>
    <row r="340" spans="1:17" x14ac:dyDescent="0.2">
      <c r="A340" s="30" t="s">
        <v>951</v>
      </c>
      <c r="B340" s="33">
        <v>73</v>
      </c>
      <c r="C340" s="33">
        <v>102</v>
      </c>
      <c r="D340" s="30" t="s">
        <v>317</v>
      </c>
      <c r="E340" s="34" t="s">
        <v>318</v>
      </c>
      <c r="F340" s="34" t="s">
        <v>952</v>
      </c>
      <c r="G340" s="30" t="s">
        <v>611</v>
      </c>
    </row>
    <row r="341" spans="1:17" x14ac:dyDescent="0.2">
      <c r="A341" s="30" t="s">
        <v>953</v>
      </c>
      <c r="B341" s="38">
        <v>62.05</v>
      </c>
      <c r="C341" s="38">
        <v>129.483</v>
      </c>
      <c r="D341" s="30" t="s">
        <v>19</v>
      </c>
      <c r="E341" s="34" t="s">
        <v>59</v>
      </c>
      <c r="F341" s="34" t="s">
        <v>954</v>
      </c>
      <c r="G341" s="30" t="s">
        <v>546</v>
      </c>
    </row>
    <row r="342" spans="1:17" x14ac:dyDescent="0.2">
      <c r="A342" s="30" t="s">
        <v>955</v>
      </c>
      <c r="B342" s="38">
        <v>67.366666666666703</v>
      </c>
      <c r="C342" s="38">
        <v>59.566666666666698</v>
      </c>
      <c r="D342" s="30" t="s">
        <v>19</v>
      </c>
      <c r="E342" s="34" t="s">
        <v>20</v>
      </c>
      <c r="F342" s="34" t="s">
        <v>956</v>
      </c>
      <c r="G342" s="30" t="s">
        <v>556</v>
      </c>
    </row>
    <row r="343" spans="1:17" s="35" customFormat="1" x14ac:dyDescent="0.2">
      <c r="A343" s="30" t="s">
        <v>1267</v>
      </c>
      <c r="B343" s="38">
        <v>60.5</v>
      </c>
      <c r="C343" s="38">
        <v>29.5</v>
      </c>
      <c r="D343" s="30" t="s">
        <v>1159</v>
      </c>
      <c r="E343" s="48" t="s">
        <v>20</v>
      </c>
      <c r="F343" s="34" t="s">
        <v>1185</v>
      </c>
      <c r="G343" s="1" t="s">
        <v>611</v>
      </c>
      <c r="H343" s="36"/>
      <c r="I343" s="36"/>
      <c r="J343" s="36"/>
      <c r="K343" s="36"/>
      <c r="L343" s="36"/>
      <c r="M343" s="36"/>
      <c r="N343" s="36"/>
      <c r="O343" s="36"/>
      <c r="P343" s="36"/>
      <c r="Q343" s="36"/>
    </row>
    <row r="344" spans="1:17" x14ac:dyDescent="0.2">
      <c r="A344" s="50" t="s">
        <v>957</v>
      </c>
      <c r="B344" s="51" t="s">
        <v>1178</v>
      </c>
      <c r="C344" s="51" t="s">
        <v>1179</v>
      </c>
      <c r="D344" s="50" t="s">
        <v>317</v>
      </c>
      <c r="E344" s="52" t="s">
        <v>318</v>
      </c>
      <c r="F344" s="52" t="s">
        <v>958</v>
      </c>
      <c r="G344" s="50" t="s">
        <v>543</v>
      </c>
    </row>
    <row r="346" spans="1:17" ht="13" customHeight="1" x14ac:dyDescent="0.2">
      <c r="A346" s="36"/>
      <c r="B346" s="36"/>
      <c r="C346" s="36"/>
      <c r="D346" s="36"/>
      <c r="E346" s="36"/>
      <c r="F346" s="48"/>
      <c r="G346" s="36"/>
    </row>
    <row r="347" spans="1:17" ht="13" customHeight="1" x14ac:dyDescent="0.2"/>
  </sheetData>
  <sortState xmlns:xlrd2="http://schemas.microsoft.com/office/spreadsheetml/2017/richdata2" ref="A279:AMK328">
    <sortCondition ref="A328"/>
  </sortState>
  <phoneticPr fontId="20" type="noConversion"/>
  <hyperlinks>
    <hyperlink ref="F151" r:id="rId1" xr:uid="{00000000-0004-0000-0300-000000000000}"/>
    <hyperlink ref="F323" r:id="rId2" xr:uid="{00000000-0004-0000-0300-000001000000}"/>
  </hyperlinks>
  <pageMargins left="0.75" right="0.75" top="1" bottom="1" header="0.51" footer="0.51"/>
  <pageSetup scale="50" firstPageNumber="0" fitToHeight="5" orientation="portrait" horizontalDpi="4294967292" verticalDpi="4294967292"/>
  <extLst>
    <ext xmlns:mx="http://schemas.microsoft.com/office/mac/excel/2008/main" uri="{64002731-A6B0-56B0-2670-7721B7C09600}">
      <mx:PLV Mode="0" OnePage="0" WScale="10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45"/>
  <sheetViews>
    <sheetView workbookViewId="0"/>
  </sheetViews>
  <sheetFormatPr baseColWidth="10" defaultColWidth="8.83203125" defaultRowHeight="14" x14ac:dyDescent="0.15"/>
  <cols>
    <col min="1" max="1" width="255.6640625" style="85" customWidth="1"/>
    <col min="2" max="16384" width="8.83203125" style="85"/>
  </cols>
  <sheetData>
    <row r="1" spans="1:1" x14ac:dyDescent="0.15">
      <c r="A1" s="92" t="s">
        <v>1773</v>
      </c>
    </row>
    <row r="3" spans="1:1" ht="15.75" customHeight="1" x14ac:dyDescent="0.15">
      <c r="A3" s="91" t="s">
        <v>1365</v>
      </c>
    </row>
    <row r="4" spans="1:1" x14ac:dyDescent="0.15">
      <c r="A4" s="91" t="s">
        <v>1366</v>
      </c>
    </row>
    <row r="5" spans="1:1" x14ac:dyDescent="0.15">
      <c r="A5" s="91" t="s">
        <v>1367</v>
      </c>
    </row>
    <row r="6" spans="1:1" x14ac:dyDescent="0.15">
      <c r="A6" s="91" t="s">
        <v>1368</v>
      </c>
    </row>
    <row r="7" spans="1:1" x14ac:dyDescent="0.15">
      <c r="A7" s="91" t="s">
        <v>1369</v>
      </c>
    </row>
    <row r="8" spans="1:1" x14ac:dyDescent="0.15">
      <c r="A8" s="91" t="s">
        <v>1370</v>
      </c>
    </row>
    <row r="9" spans="1:1" x14ac:dyDescent="0.15">
      <c r="A9" s="91" t="s">
        <v>1371</v>
      </c>
    </row>
    <row r="10" spans="1:1" x14ac:dyDescent="0.15">
      <c r="A10" s="91" t="s">
        <v>1372</v>
      </c>
    </row>
    <row r="11" spans="1:1" x14ac:dyDescent="0.15">
      <c r="A11" s="91" t="s">
        <v>1373</v>
      </c>
    </row>
    <row r="12" spans="1:1" x14ac:dyDescent="0.15">
      <c r="A12" s="91" t="s">
        <v>1374</v>
      </c>
    </row>
    <row r="13" spans="1:1" x14ac:dyDescent="0.15">
      <c r="A13" s="91" t="s">
        <v>1375</v>
      </c>
    </row>
    <row r="14" spans="1:1" x14ac:dyDescent="0.15">
      <c r="A14" s="91" t="s">
        <v>1376</v>
      </c>
    </row>
    <row r="15" spans="1:1" x14ac:dyDescent="0.15">
      <c r="A15" s="91" t="s">
        <v>1377</v>
      </c>
    </row>
    <row r="16" spans="1:1" x14ac:dyDescent="0.15">
      <c r="A16" s="91" t="s">
        <v>1378</v>
      </c>
    </row>
    <row r="17" spans="1:1" x14ac:dyDescent="0.15">
      <c r="A17" s="91" t="s">
        <v>1379</v>
      </c>
    </row>
    <row r="18" spans="1:1" x14ac:dyDescent="0.15">
      <c r="A18" s="91" t="s">
        <v>1380</v>
      </c>
    </row>
    <row r="19" spans="1:1" x14ac:dyDescent="0.15">
      <c r="A19" s="91" t="s">
        <v>1381</v>
      </c>
    </row>
    <row r="20" spans="1:1" x14ac:dyDescent="0.15">
      <c r="A20" s="91" t="s">
        <v>1382</v>
      </c>
    </row>
    <row r="21" spans="1:1" x14ac:dyDescent="0.15">
      <c r="A21" s="91" t="s">
        <v>1383</v>
      </c>
    </row>
    <row r="22" spans="1:1" x14ac:dyDescent="0.15">
      <c r="A22" s="91" t="s">
        <v>1384</v>
      </c>
    </row>
    <row r="23" spans="1:1" x14ac:dyDescent="0.15">
      <c r="A23" s="91" t="s">
        <v>1385</v>
      </c>
    </row>
    <row r="24" spans="1:1" x14ac:dyDescent="0.15">
      <c r="A24" s="91" t="s">
        <v>1386</v>
      </c>
    </row>
    <row r="25" spans="1:1" x14ac:dyDescent="0.15">
      <c r="A25" s="91" t="s">
        <v>1387</v>
      </c>
    </row>
    <row r="26" spans="1:1" x14ac:dyDescent="0.15">
      <c r="A26" s="91" t="s">
        <v>1388</v>
      </c>
    </row>
    <row r="27" spans="1:1" x14ac:dyDescent="0.15">
      <c r="A27" s="91" t="s">
        <v>1389</v>
      </c>
    </row>
    <row r="28" spans="1:1" x14ac:dyDescent="0.15">
      <c r="A28" s="91" t="s">
        <v>1390</v>
      </c>
    </row>
    <row r="29" spans="1:1" x14ac:dyDescent="0.15">
      <c r="A29" s="91" t="s">
        <v>1391</v>
      </c>
    </row>
    <row r="30" spans="1:1" x14ac:dyDescent="0.15">
      <c r="A30" s="91" t="s">
        <v>1392</v>
      </c>
    </row>
    <row r="31" spans="1:1" x14ac:dyDescent="0.15">
      <c r="A31" s="91" t="s">
        <v>1393</v>
      </c>
    </row>
    <row r="32" spans="1:1" x14ac:dyDescent="0.15">
      <c r="A32" s="91" t="s">
        <v>1291</v>
      </c>
    </row>
    <row r="33" spans="1:1" x14ac:dyDescent="0.15">
      <c r="A33" s="91" t="s">
        <v>1394</v>
      </c>
    </row>
    <row r="34" spans="1:1" x14ac:dyDescent="0.15">
      <c r="A34" s="91" t="s">
        <v>1395</v>
      </c>
    </row>
    <row r="35" spans="1:1" x14ac:dyDescent="0.15">
      <c r="A35" s="91" t="s">
        <v>1396</v>
      </c>
    </row>
    <row r="36" spans="1:1" ht="14.25" customHeight="1" x14ac:dyDescent="0.15">
      <c r="A36" s="91" t="s">
        <v>1397</v>
      </c>
    </row>
    <row r="37" spans="1:1" x14ac:dyDescent="0.15">
      <c r="A37" s="91" t="s">
        <v>1398</v>
      </c>
    </row>
    <row r="38" spans="1:1" x14ac:dyDescent="0.15">
      <c r="A38" s="91" t="s">
        <v>1399</v>
      </c>
    </row>
    <row r="39" spans="1:1" x14ac:dyDescent="0.15">
      <c r="A39" s="91" t="s">
        <v>1400</v>
      </c>
    </row>
    <row r="40" spans="1:1" x14ac:dyDescent="0.15">
      <c r="A40" s="91" t="s">
        <v>1401</v>
      </c>
    </row>
    <row r="41" spans="1:1" x14ac:dyDescent="0.15">
      <c r="A41" s="91" t="s">
        <v>1402</v>
      </c>
    </row>
    <row r="42" spans="1:1" x14ac:dyDescent="0.15">
      <c r="A42" s="91" t="s">
        <v>1403</v>
      </c>
    </row>
    <row r="43" spans="1:1" x14ac:dyDescent="0.15">
      <c r="A43" s="91" t="s">
        <v>1404</v>
      </c>
    </row>
    <row r="44" spans="1:1" x14ac:dyDescent="0.15">
      <c r="A44" s="91" t="s">
        <v>1405</v>
      </c>
    </row>
    <row r="45" spans="1:1" x14ac:dyDescent="0.15">
      <c r="A45" s="91" t="s">
        <v>1406</v>
      </c>
    </row>
    <row r="46" spans="1:1" x14ac:dyDescent="0.15">
      <c r="A46" s="91" t="s">
        <v>1407</v>
      </c>
    </row>
    <row r="47" spans="1:1" x14ac:dyDescent="0.15">
      <c r="A47" s="91" t="s">
        <v>1408</v>
      </c>
    </row>
    <row r="48" spans="1:1" x14ac:dyDescent="0.15">
      <c r="A48" s="91" t="s">
        <v>1409</v>
      </c>
    </row>
    <row r="49" spans="1:1" x14ac:dyDescent="0.15">
      <c r="A49" s="91" t="s">
        <v>1410</v>
      </c>
    </row>
    <row r="50" spans="1:1" x14ac:dyDescent="0.15">
      <c r="A50" s="91" t="s">
        <v>1411</v>
      </c>
    </row>
    <row r="51" spans="1:1" x14ac:dyDescent="0.15">
      <c r="A51" s="91" t="s">
        <v>1412</v>
      </c>
    </row>
    <row r="52" spans="1:1" x14ac:dyDescent="0.15">
      <c r="A52" s="91" t="s">
        <v>1413</v>
      </c>
    </row>
    <row r="53" spans="1:1" x14ac:dyDescent="0.15">
      <c r="A53" s="91" t="s">
        <v>1414</v>
      </c>
    </row>
    <row r="54" spans="1:1" x14ac:dyDescent="0.15">
      <c r="A54" s="91" t="s">
        <v>1415</v>
      </c>
    </row>
    <row r="55" spans="1:1" x14ac:dyDescent="0.15">
      <c r="A55" s="91" t="s">
        <v>1416</v>
      </c>
    </row>
    <row r="56" spans="1:1" x14ac:dyDescent="0.15">
      <c r="A56" s="91" t="s">
        <v>1417</v>
      </c>
    </row>
    <row r="57" spans="1:1" x14ac:dyDescent="0.15">
      <c r="A57" s="91" t="s">
        <v>1592</v>
      </c>
    </row>
    <row r="58" spans="1:1" x14ac:dyDescent="0.15">
      <c r="A58" s="91" t="s">
        <v>1418</v>
      </c>
    </row>
    <row r="59" spans="1:1" x14ac:dyDescent="0.15">
      <c r="A59" s="91" t="s">
        <v>1419</v>
      </c>
    </row>
    <row r="60" spans="1:1" x14ac:dyDescent="0.15">
      <c r="A60" s="91" t="s">
        <v>1420</v>
      </c>
    </row>
    <row r="61" spans="1:1" x14ac:dyDescent="0.15">
      <c r="A61" s="91" t="s">
        <v>1421</v>
      </c>
    </row>
    <row r="62" spans="1:1" x14ac:dyDescent="0.15">
      <c r="A62" s="91" t="s">
        <v>1422</v>
      </c>
    </row>
    <row r="63" spans="1:1" ht="15" x14ac:dyDescent="0.15">
      <c r="A63" s="91" t="s">
        <v>1594</v>
      </c>
    </row>
    <row r="64" spans="1:1" x14ac:dyDescent="0.15">
      <c r="A64" s="91" t="s">
        <v>1423</v>
      </c>
    </row>
    <row r="65" spans="1:1" x14ac:dyDescent="0.15">
      <c r="A65" s="91" t="s">
        <v>1424</v>
      </c>
    </row>
    <row r="66" spans="1:1" x14ac:dyDescent="0.15">
      <c r="A66" s="91" t="s">
        <v>1425</v>
      </c>
    </row>
    <row r="67" spans="1:1" x14ac:dyDescent="0.15">
      <c r="A67" s="91" t="s">
        <v>1426</v>
      </c>
    </row>
    <row r="68" spans="1:1" x14ac:dyDescent="0.15">
      <c r="A68" s="91" t="s">
        <v>1427</v>
      </c>
    </row>
    <row r="69" spans="1:1" x14ac:dyDescent="0.15">
      <c r="A69" s="91" t="s">
        <v>1428</v>
      </c>
    </row>
    <row r="70" spans="1:1" ht="15" x14ac:dyDescent="0.15">
      <c r="A70" s="91" t="s">
        <v>1595</v>
      </c>
    </row>
    <row r="71" spans="1:1" x14ac:dyDescent="0.15">
      <c r="A71" s="91" t="s">
        <v>1429</v>
      </c>
    </row>
    <row r="72" spans="1:1" x14ac:dyDescent="0.15">
      <c r="A72" s="91" t="s">
        <v>1430</v>
      </c>
    </row>
    <row r="73" spans="1:1" x14ac:dyDescent="0.15">
      <c r="A73" s="91" t="s">
        <v>1431</v>
      </c>
    </row>
    <row r="74" spans="1:1" x14ac:dyDescent="0.15">
      <c r="A74" s="91" t="s">
        <v>1432</v>
      </c>
    </row>
    <row r="75" spans="1:1" x14ac:dyDescent="0.15">
      <c r="A75" s="91" t="s">
        <v>1433</v>
      </c>
    </row>
    <row r="76" spans="1:1" x14ac:dyDescent="0.15">
      <c r="A76" s="91" t="s">
        <v>1434</v>
      </c>
    </row>
    <row r="77" spans="1:1" x14ac:dyDescent="0.15">
      <c r="A77" s="91" t="s">
        <v>1435</v>
      </c>
    </row>
    <row r="78" spans="1:1" x14ac:dyDescent="0.15">
      <c r="A78" s="91" t="s">
        <v>1436</v>
      </c>
    </row>
    <row r="79" spans="1:1" x14ac:dyDescent="0.15">
      <c r="A79" s="91" t="s">
        <v>1437</v>
      </c>
    </row>
    <row r="80" spans="1:1" x14ac:dyDescent="0.15">
      <c r="A80" s="91" t="s">
        <v>1438</v>
      </c>
    </row>
    <row r="81" spans="1:1" x14ac:dyDescent="0.15">
      <c r="A81" s="91" t="s">
        <v>1439</v>
      </c>
    </row>
    <row r="82" spans="1:1" x14ac:dyDescent="0.15">
      <c r="A82" s="91" t="s">
        <v>1440</v>
      </c>
    </row>
    <row r="83" spans="1:1" x14ac:dyDescent="0.15">
      <c r="A83" s="91" t="s">
        <v>1441</v>
      </c>
    </row>
    <row r="84" spans="1:1" x14ac:dyDescent="0.15">
      <c r="A84" s="91" t="s">
        <v>1442</v>
      </c>
    </row>
    <row r="85" spans="1:1" x14ac:dyDescent="0.15">
      <c r="A85" s="91" t="s">
        <v>1443</v>
      </c>
    </row>
    <row r="86" spans="1:1" x14ac:dyDescent="0.15">
      <c r="A86" s="91" t="s">
        <v>1444</v>
      </c>
    </row>
    <row r="87" spans="1:1" x14ac:dyDescent="0.15">
      <c r="A87" s="91" t="s">
        <v>1445</v>
      </c>
    </row>
    <row r="88" spans="1:1" x14ac:dyDescent="0.15">
      <c r="A88" s="91" t="s">
        <v>1446</v>
      </c>
    </row>
    <row r="89" spans="1:1" x14ac:dyDescent="0.15">
      <c r="A89" s="91" t="s">
        <v>1447</v>
      </c>
    </row>
    <row r="90" spans="1:1" x14ac:dyDescent="0.15">
      <c r="A90" s="91" t="s">
        <v>1448</v>
      </c>
    </row>
    <row r="91" spans="1:1" x14ac:dyDescent="0.15">
      <c r="A91" s="91" t="s">
        <v>1449</v>
      </c>
    </row>
    <row r="92" spans="1:1" x14ac:dyDescent="0.15">
      <c r="A92" s="91" t="s">
        <v>1450</v>
      </c>
    </row>
    <row r="93" spans="1:1" x14ac:dyDescent="0.15">
      <c r="A93" s="91" t="s">
        <v>1451</v>
      </c>
    </row>
    <row r="94" spans="1:1" x14ac:dyDescent="0.15">
      <c r="A94" s="91" t="s">
        <v>1452</v>
      </c>
    </row>
    <row r="95" spans="1:1" x14ac:dyDescent="0.15">
      <c r="A95" s="91" t="s">
        <v>1453</v>
      </c>
    </row>
    <row r="96" spans="1:1" x14ac:dyDescent="0.15">
      <c r="A96" s="91" t="s">
        <v>1454</v>
      </c>
    </row>
    <row r="97" spans="1:1" x14ac:dyDescent="0.15">
      <c r="A97" s="91" t="s">
        <v>1455</v>
      </c>
    </row>
    <row r="98" spans="1:1" x14ac:dyDescent="0.15">
      <c r="A98" s="91" t="s">
        <v>1456</v>
      </c>
    </row>
    <row r="99" spans="1:1" x14ac:dyDescent="0.15">
      <c r="A99" s="91" t="s">
        <v>1457</v>
      </c>
    </row>
    <row r="100" spans="1:1" x14ac:dyDescent="0.15">
      <c r="A100" s="91" t="s">
        <v>1458</v>
      </c>
    </row>
    <row r="101" spans="1:1" x14ac:dyDescent="0.15">
      <c r="A101" s="91" t="s">
        <v>1459</v>
      </c>
    </row>
    <row r="102" spans="1:1" x14ac:dyDescent="0.15">
      <c r="A102" s="91" t="s">
        <v>1460</v>
      </c>
    </row>
    <row r="103" spans="1:1" x14ac:dyDescent="0.15">
      <c r="A103" s="91" t="s">
        <v>1461</v>
      </c>
    </row>
    <row r="104" spans="1:1" x14ac:dyDescent="0.15">
      <c r="A104" s="91" t="s">
        <v>1462</v>
      </c>
    </row>
    <row r="105" spans="1:1" x14ac:dyDescent="0.15">
      <c r="A105" s="91" t="s">
        <v>1463</v>
      </c>
    </row>
    <row r="106" spans="1:1" x14ac:dyDescent="0.15">
      <c r="A106" s="91" t="s">
        <v>1464</v>
      </c>
    </row>
    <row r="107" spans="1:1" x14ac:dyDescent="0.15">
      <c r="A107" s="91" t="s">
        <v>1465</v>
      </c>
    </row>
    <row r="108" spans="1:1" x14ac:dyDescent="0.15">
      <c r="A108" s="91" t="s">
        <v>1466</v>
      </c>
    </row>
    <row r="109" spans="1:1" x14ac:dyDescent="0.15">
      <c r="A109" s="91" t="s">
        <v>1467</v>
      </c>
    </row>
    <row r="110" spans="1:1" x14ac:dyDescent="0.15">
      <c r="A110" s="91" t="s">
        <v>1468</v>
      </c>
    </row>
    <row r="111" spans="1:1" x14ac:dyDescent="0.15">
      <c r="A111" s="91" t="s">
        <v>1469</v>
      </c>
    </row>
    <row r="112" spans="1:1" x14ac:dyDescent="0.15">
      <c r="A112" s="91" t="s">
        <v>1470</v>
      </c>
    </row>
    <row r="113" spans="1:1" x14ac:dyDescent="0.15">
      <c r="A113" s="91" t="s">
        <v>1471</v>
      </c>
    </row>
    <row r="114" spans="1:1" x14ac:dyDescent="0.15">
      <c r="A114" s="91" t="s">
        <v>1472</v>
      </c>
    </row>
    <row r="115" spans="1:1" x14ac:dyDescent="0.15">
      <c r="A115" s="91" t="s">
        <v>1473</v>
      </c>
    </row>
    <row r="116" spans="1:1" x14ac:dyDescent="0.15">
      <c r="A116" s="91" t="s">
        <v>1292</v>
      </c>
    </row>
    <row r="117" spans="1:1" x14ac:dyDescent="0.15">
      <c r="A117" s="91" t="s">
        <v>1474</v>
      </c>
    </row>
    <row r="118" spans="1:1" x14ac:dyDescent="0.15">
      <c r="A118" s="91" t="s">
        <v>1475</v>
      </c>
    </row>
    <row r="119" spans="1:1" x14ac:dyDescent="0.15">
      <c r="A119" s="91" t="s">
        <v>1476</v>
      </c>
    </row>
    <row r="120" spans="1:1" x14ac:dyDescent="0.15">
      <c r="A120" s="91" t="s">
        <v>1477</v>
      </c>
    </row>
    <row r="121" spans="1:1" x14ac:dyDescent="0.15">
      <c r="A121" s="91" t="s">
        <v>1478</v>
      </c>
    </row>
    <row r="122" spans="1:1" x14ac:dyDescent="0.15">
      <c r="A122" s="91" t="s">
        <v>1479</v>
      </c>
    </row>
    <row r="123" spans="1:1" x14ac:dyDescent="0.15">
      <c r="A123" s="91" t="s">
        <v>1480</v>
      </c>
    </row>
    <row r="124" spans="1:1" x14ac:dyDescent="0.15">
      <c r="A124" s="91" t="s">
        <v>1481</v>
      </c>
    </row>
    <row r="125" spans="1:1" x14ac:dyDescent="0.15">
      <c r="A125" s="91" t="s">
        <v>1482</v>
      </c>
    </row>
    <row r="126" spans="1:1" x14ac:dyDescent="0.15">
      <c r="A126" s="91" t="s">
        <v>1483</v>
      </c>
    </row>
    <row r="127" spans="1:1" x14ac:dyDescent="0.15">
      <c r="A127" s="91" t="s">
        <v>1484</v>
      </c>
    </row>
    <row r="128" spans="1:1" x14ac:dyDescent="0.15">
      <c r="A128" s="91" t="s">
        <v>1485</v>
      </c>
    </row>
    <row r="129" spans="1:1" x14ac:dyDescent="0.15">
      <c r="A129" s="91" t="s">
        <v>1486</v>
      </c>
    </row>
    <row r="130" spans="1:1" x14ac:dyDescent="0.15">
      <c r="A130" s="91" t="s">
        <v>1487</v>
      </c>
    </row>
    <row r="131" spans="1:1" x14ac:dyDescent="0.15">
      <c r="A131" s="91" t="s">
        <v>1488</v>
      </c>
    </row>
    <row r="132" spans="1:1" x14ac:dyDescent="0.15">
      <c r="A132" s="91" t="s">
        <v>1489</v>
      </c>
    </row>
    <row r="133" spans="1:1" x14ac:dyDescent="0.15">
      <c r="A133" s="91" t="s">
        <v>1490</v>
      </c>
    </row>
    <row r="134" spans="1:1" x14ac:dyDescent="0.15">
      <c r="A134" s="91" t="s">
        <v>1491</v>
      </c>
    </row>
    <row r="135" spans="1:1" x14ac:dyDescent="0.15">
      <c r="A135" s="91" t="s">
        <v>1492</v>
      </c>
    </row>
    <row r="136" spans="1:1" x14ac:dyDescent="0.15">
      <c r="A136" s="91" t="s">
        <v>1293</v>
      </c>
    </row>
    <row r="137" spans="1:1" x14ac:dyDescent="0.15">
      <c r="A137" s="91" t="s">
        <v>1493</v>
      </c>
    </row>
    <row r="138" spans="1:1" x14ac:dyDescent="0.15">
      <c r="A138" s="91" t="s">
        <v>1494</v>
      </c>
    </row>
    <row r="139" spans="1:1" x14ac:dyDescent="0.15">
      <c r="A139" s="91" t="s">
        <v>1495</v>
      </c>
    </row>
    <row r="140" spans="1:1" x14ac:dyDescent="0.15">
      <c r="A140" s="91" t="s">
        <v>1496</v>
      </c>
    </row>
    <row r="141" spans="1:1" x14ac:dyDescent="0.15">
      <c r="A141" s="91" t="s">
        <v>1596</v>
      </c>
    </row>
    <row r="142" spans="1:1" x14ac:dyDescent="0.15">
      <c r="A142" s="91" t="s">
        <v>1497</v>
      </c>
    </row>
    <row r="143" spans="1:1" x14ac:dyDescent="0.15">
      <c r="A143" s="91" t="s">
        <v>1498</v>
      </c>
    </row>
    <row r="144" spans="1:1" x14ac:dyDescent="0.15">
      <c r="A144" s="91" t="s">
        <v>1499</v>
      </c>
    </row>
    <row r="145" spans="1:1" x14ac:dyDescent="0.15">
      <c r="A145" s="91" t="s">
        <v>1500</v>
      </c>
    </row>
    <row r="146" spans="1:1" x14ac:dyDescent="0.15">
      <c r="A146" s="91" t="s">
        <v>1501</v>
      </c>
    </row>
    <row r="147" spans="1:1" x14ac:dyDescent="0.15">
      <c r="A147" s="91" t="s">
        <v>1502</v>
      </c>
    </row>
    <row r="148" spans="1:1" x14ac:dyDescent="0.15">
      <c r="A148" s="91" t="s">
        <v>1503</v>
      </c>
    </row>
    <row r="149" spans="1:1" x14ac:dyDescent="0.15">
      <c r="A149" s="91" t="s">
        <v>1504</v>
      </c>
    </row>
    <row r="150" spans="1:1" x14ac:dyDescent="0.15">
      <c r="A150" s="91" t="s">
        <v>1597</v>
      </c>
    </row>
    <row r="151" spans="1:1" x14ac:dyDescent="0.15">
      <c r="A151" s="91" t="s">
        <v>1505</v>
      </c>
    </row>
    <row r="152" spans="1:1" x14ac:dyDescent="0.15">
      <c r="A152" s="91" t="s">
        <v>1294</v>
      </c>
    </row>
    <row r="153" spans="1:1" x14ac:dyDescent="0.15">
      <c r="A153" s="91" t="s">
        <v>1506</v>
      </c>
    </row>
    <row r="154" spans="1:1" x14ac:dyDescent="0.15">
      <c r="A154" s="91" t="s">
        <v>1507</v>
      </c>
    </row>
    <row r="155" spans="1:1" x14ac:dyDescent="0.15">
      <c r="A155" s="91" t="s">
        <v>1508</v>
      </c>
    </row>
    <row r="156" spans="1:1" x14ac:dyDescent="0.15">
      <c r="A156" s="91" t="s">
        <v>1509</v>
      </c>
    </row>
    <row r="157" spans="1:1" x14ac:dyDescent="0.15">
      <c r="A157" s="91" t="s">
        <v>1510</v>
      </c>
    </row>
    <row r="158" spans="1:1" x14ac:dyDescent="0.15">
      <c r="A158" s="91" t="s">
        <v>1511</v>
      </c>
    </row>
    <row r="159" spans="1:1" x14ac:dyDescent="0.15">
      <c r="A159" s="91" t="s">
        <v>1512</v>
      </c>
    </row>
    <row r="160" spans="1:1" x14ac:dyDescent="0.15">
      <c r="A160" s="91" t="s">
        <v>1513</v>
      </c>
    </row>
    <row r="161" spans="1:1" x14ac:dyDescent="0.15">
      <c r="A161" s="91" t="s">
        <v>1514</v>
      </c>
    </row>
    <row r="162" spans="1:1" x14ac:dyDescent="0.15">
      <c r="A162" s="91" t="s">
        <v>1515</v>
      </c>
    </row>
    <row r="163" spans="1:1" x14ac:dyDescent="0.15">
      <c r="A163" s="91" t="s">
        <v>1516</v>
      </c>
    </row>
    <row r="164" spans="1:1" x14ac:dyDescent="0.15">
      <c r="A164" s="91" t="s">
        <v>1517</v>
      </c>
    </row>
    <row r="165" spans="1:1" x14ac:dyDescent="0.15">
      <c r="A165" s="91" t="s">
        <v>1518</v>
      </c>
    </row>
    <row r="166" spans="1:1" x14ac:dyDescent="0.15">
      <c r="A166" s="91" t="s">
        <v>1519</v>
      </c>
    </row>
    <row r="167" spans="1:1" x14ac:dyDescent="0.15">
      <c r="A167" s="91" t="s">
        <v>1520</v>
      </c>
    </row>
    <row r="168" spans="1:1" x14ac:dyDescent="0.15">
      <c r="A168" s="91" t="s">
        <v>1521</v>
      </c>
    </row>
    <row r="169" spans="1:1" x14ac:dyDescent="0.15">
      <c r="A169" s="91" t="s">
        <v>1522</v>
      </c>
    </row>
    <row r="170" spans="1:1" x14ac:dyDescent="0.15">
      <c r="A170" s="91" t="s">
        <v>1523</v>
      </c>
    </row>
    <row r="171" spans="1:1" x14ac:dyDescent="0.15">
      <c r="A171" s="91" t="s">
        <v>1295</v>
      </c>
    </row>
    <row r="172" spans="1:1" x14ac:dyDescent="0.15">
      <c r="A172" s="91" t="s">
        <v>1593</v>
      </c>
    </row>
    <row r="173" spans="1:1" x14ac:dyDescent="0.15">
      <c r="A173" s="91" t="s">
        <v>1524</v>
      </c>
    </row>
    <row r="174" spans="1:1" x14ac:dyDescent="0.15">
      <c r="A174" s="91" t="s">
        <v>1525</v>
      </c>
    </row>
    <row r="175" spans="1:1" x14ac:dyDescent="0.15">
      <c r="A175" s="91" t="s">
        <v>1526</v>
      </c>
    </row>
    <row r="176" spans="1:1" x14ac:dyDescent="0.15">
      <c r="A176" s="91" t="s">
        <v>1527</v>
      </c>
    </row>
    <row r="177" spans="1:1" x14ac:dyDescent="0.15">
      <c r="A177" s="91" t="s">
        <v>1528</v>
      </c>
    </row>
    <row r="178" spans="1:1" x14ac:dyDescent="0.15">
      <c r="A178" s="91" t="s">
        <v>1529</v>
      </c>
    </row>
    <row r="179" spans="1:1" x14ac:dyDescent="0.15">
      <c r="A179" s="91" t="s">
        <v>1530</v>
      </c>
    </row>
    <row r="180" spans="1:1" x14ac:dyDescent="0.15">
      <c r="A180" s="91" t="s">
        <v>1531</v>
      </c>
    </row>
    <row r="181" spans="1:1" x14ac:dyDescent="0.15">
      <c r="A181" s="91" t="s">
        <v>1532</v>
      </c>
    </row>
    <row r="182" spans="1:1" x14ac:dyDescent="0.15">
      <c r="A182" s="91" t="s">
        <v>1533</v>
      </c>
    </row>
    <row r="183" spans="1:1" x14ac:dyDescent="0.15">
      <c r="A183" s="91" t="s">
        <v>1534</v>
      </c>
    </row>
    <row r="184" spans="1:1" x14ac:dyDescent="0.15">
      <c r="A184" s="91" t="s">
        <v>1535</v>
      </c>
    </row>
    <row r="185" spans="1:1" x14ac:dyDescent="0.15">
      <c r="A185" s="91" t="s">
        <v>1536</v>
      </c>
    </row>
    <row r="186" spans="1:1" x14ac:dyDescent="0.15">
      <c r="A186" s="91" t="s">
        <v>1537</v>
      </c>
    </row>
    <row r="187" spans="1:1" x14ac:dyDescent="0.15">
      <c r="A187" s="91" t="s">
        <v>1296</v>
      </c>
    </row>
    <row r="188" spans="1:1" x14ac:dyDescent="0.15">
      <c r="A188" s="91" t="s">
        <v>1538</v>
      </c>
    </row>
    <row r="189" spans="1:1" x14ac:dyDescent="0.15">
      <c r="A189" s="91" t="s">
        <v>1539</v>
      </c>
    </row>
    <row r="190" spans="1:1" x14ac:dyDescent="0.15">
      <c r="A190" s="91" t="s">
        <v>1540</v>
      </c>
    </row>
    <row r="191" spans="1:1" x14ac:dyDescent="0.15">
      <c r="A191" s="91" t="s">
        <v>1541</v>
      </c>
    </row>
    <row r="192" spans="1:1" x14ac:dyDescent="0.15">
      <c r="A192" s="91" t="s">
        <v>1542</v>
      </c>
    </row>
    <row r="193" spans="1:1" x14ac:dyDescent="0.15">
      <c r="A193" s="91" t="s">
        <v>1543</v>
      </c>
    </row>
    <row r="194" spans="1:1" x14ac:dyDescent="0.15">
      <c r="A194" s="91" t="s">
        <v>1544</v>
      </c>
    </row>
    <row r="195" spans="1:1" x14ac:dyDescent="0.15">
      <c r="A195" s="91" t="s">
        <v>1545</v>
      </c>
    </row>
    <row r="196" spans="1:1" x14ac:dyDescent="0.15">
      <c r="A196" s="91" t="s">
        <v>1546</v>
      </c>
    </row>
    <row r="197" spans="1:1" x14ac:dyDescent="0.15">
      <c r="A197" s="91" t="s">
        <v>1547</v>
      </c>
    </row>
    <row r="198" spans="1:1" x14ac:dyDescent="0.15">
      <c r="A198" s="91" t="s">
        <v>1548</v>
      </c>
    </row>
    <row r="199" spans="1:1" x14ac:dyDescent="0.15">
      <c r="A199" s="91" t="s">
        <v>1549</v>
      </c>
    </row>
    <row r="200" spans="1:1" x14ac:dyDescent="0.15">
      <c r="A200" s="91" t="s">
        <v>1550</v>
      </c>
    </row>
    <row r="201" spans="1:1" x14ac:dyDescent="0.15">
      <c r="A201" s="91" t="s">
        <v>1551</v>
      </c>
    </row>
    <row r="202" spans="1:1" x14ac:dyDescent="0.15">
      <c r="A202" s="91" t="s">
        <v>1552</v>
      </c>
    </row>
    <row r="203" spans="1:1" x14ac:dyDescent="0.15">
      <c r="A203" s="91" t="s">
        <v>1553</v>
      </c>
    </row>
    <row r="204" spans="1:1" x14ac:dyDescent="0.15">
      <c r="A204" s="91" t="s">
        <v>1554</v>
      </c>
    </row>
    <row r="205" spans="1:1" x14ac:dyDescent="0.15">
      <c r="A205" s="91" t="s">
        <v>1555</v>
      </c>
    </row>
    <row r="206" spans="1:1" x14ac:dyDescent="0.15">
      <c r="A206" s="91" t="s">
        <v>1556</v>
      </c>
    </row>
    <row r="207" spans="1:1" x14ac:dyDescent="0.15">
      <c r="A207" s="91" t="s">
        <v>1557</v>
      </c>
    </row>
    <row r="208" spans="1:1" x14ac:dyDescent="0.15">
      <c r="A208" s="91" t="s">
        <v>1558</v>
      </c>
    </row>
    <row r="209" spans="1:1" x14ac:dyDescent="0.15">
      <c r="A209" s="91" t="s">
        <v>1559</v>
      </c>
    </row>
    <row r="210" spans="1:1" x14ac:dyDescent="0.15">
      <c r="A210" s="91" t="s">
        <v>1560</v>
      </c>
    </row>
    <row r="211" spans="1:1" x14ac:dyDescent="0.15">
      <c r="A211" s="91" t="s">
        <v>1561</v>
      </c>
    </row>
    <row r="212" spans="1:1" x14ac:dyDescent="0.15">
      <c r="A212" s="91" t="s">
        <v>1562</v>
      </c>
    </row>
    <row r="213" spans="1:1" x14ac:dyDescent="0.15">
      <c r="A213" s="91" t="s">
        <v>1563</v>
      </c>
    </row>
    <row r="214" spans="1:1" x14ac:dyDescent="0.15">
      <c r="A214" s="91" t="s">
        <v>1564</v>
      </c>
    </row>
    <row r="215" spans="1:1" ht="15" x14ac:dyDescent="0.15">
      <c r="A215" s="91" t="s">
        <v>1598</v>
      </c>
    </row>
    <row r="216" spans="1:1" x14ac:dyDescent="0.15">
      <c r="A216" s="91" t="s">
        <v>1565</v>
      </c>
    </row>
    <row r="217" spans="1:1" x14ac:dyDescent="0.15">
      <c r="A217" s="91" t="s">
        <v>1566</v>
      </c>
    </row>
    <row r="218" spans="1:1" x14ac:dyDescent="0.15">
      <c r="A218" s="91" t="s">
        <v>1297</v>
      </c>
    </row>
    <row r="219" spans="1:1" x14ac:dyDescent="0.15">
      <c r="A219" s="91" t="s">
        <v>1567</v>
      </c>
    </row>
    <row r="220" spans="1:1" x14ac:dyDescent="0.15">
      <c r="A220" s="91" t="s">
        <v>1568</v>
      </c>
    </row>
    <row r="221" spans="1:1" x14ac:dyDescent="0.15">
      <c r="A221" s="91" t="s">
        <v>1569</v>
      </c>
    </row>
    <row r="222" spans="1:1" x14ac:dyDescent="0.15">
      <c r="A222" s="91" t="s">
        <v>1570</v>
      </c>
    </row>
    <row r="223" spans="1:1" x14ac:dyDescent="0.15">
      <c r="A223" s="91" t="s">
        <v>1571</v>
      </c>
    </row>
    <row r="224" spans="1:1" x14ac:dyDescent="0.15">
      <c r="A224" s="91" t="s">
        <v>1572</v>
      </c>
    </row>
    <row r="225" spans="1:1" x14ac:dyDescent="0.15">
      <c r="A225" s="91" t="s">
        <v>1573</v>
      </c>
    </row>
    <row r="226" spans="1:1" x14ac:dyDescent="0.15">
      <c r="A226" s="91" t="s">
        <v>1574</v>
      </c>
    </row>
    <row r="227" spans="1:1" ht="15" x14ac:dyDescent="0.15">
      <c r="A227" s="91" t="s">
        <v>1599</v>
      </c>
    </row>
    <row r="228" spans="1:1" x14ac:dyDescent="0.15">
      <c r="A228" s="91" t="s">
        <v>1575</v>
      </c>
    </row>
    <row r="229" spans="1:1" x14ac:dyDescent="0.15">
      <c r="A229" s="91" t="s">
        <v>1576</v>
      </c>
    </row>
    <row r="230" spans="1:1" x14ac:dyDescent="0.15">
      <c r="A230" s="91" t="s">
        <v>1577</v>
      </c>
    </row>
    <row r="231" spans="1:1" x14ac:dyDescent="0.15">
      <c r="A231" s="91" t="s">
        <v>1578</v>
      </c>
    </row>
    <row r="232" spans="1:1" x14ac:dyDescent="0.15">
      <c r="A232" s="91" t="s">
        <v>1579</v>
      </c>
    </row>
    <row r="233" spans="1:1" x14ac:dyDescent="0.15">
      <c r="A233" s="91" t="s">
        <v>1580</v>
      </c>
    </row>
    <row r="234" spans="1:1" x14ac:dyDescent="0.15">
      <c r="A234" s="91" t="s">
        <v>1581</v>
      </c>
    </row>
    <row r="235" spans="1:1" x14ac:dyDescent="0.15">
      <c r="A235" s="91" t="s">
        <v>1582</v>
      </c>
    </row>
    <row r="236" spans="1:1" x14ac:dyDescent="0.15">
      <c r="A236" s="91" t="s">
        <v>1583</v>
      </c>
    </row>
    <row r="237" spans="1:1" x14ac:dyDescent="0.15">
      <c r="A237" s="91" t="s">
        <v>1600</v>
      </c>
    </row>
    <row r="238" spans="1:1" x14ac:dyDescent="0.15">
      <c r="A238" s="91" t="s">
        <v>1584</v>
      </c>
    </row>
    <row r="239" spans="1:1" x14ac:dyDescent="0.15">
      <c r="A239" s="91" t="s">
        <v>1585</v>
      </c>
    </row>
    <row r="240" spans="1:1" x14ac:dyDescent="0.15">
      <c r="A240" s="91" t="s">
        <v>1586</v>
      </c>
    </row>
    <row r="241" spans="1:1" x14ac:dyDescent="0.15">
      <c r="A241" s="91" t="s">
        <v>1587</v>
      </c>
    </row>
    <row r="242" spans="1:1" x14ac:dyDescent="0.15">
      <c r="A242" s="91" t="s">
        <v>1588</v>
      </c>
    </row>
    <row r="243" spans="1:1" x14ac:dyDescent="0.15">
      <c r="A243" s="91" t="s">
        <v>1589</v>
      </c>
    </row>
    <row r="244" spans="1:1" x14ac:dyDescent="0.15">
      <c r="A244" s="91" t="s">
        <v>1590</v>
      </c>
    </row>
    <row r="245" spans="1:1" x14ac:dyDescent="0.15">
      <c r="A245" s="91" t="s">
        <v>1591</v>
      </c>
    </row>
  </sheetData>
  <phoneticPr fontId="24" type="noConversion"/>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Table 1_sites</vt:lpstr>
      <vt:lpstr>Table 1_references</vt:lpstr>
      <vt:lpstr>Table 2_records</vt:lpstr>
      <vt:lpstr>Table S1_rejected</vt:lpstr>
      <vt:lpstr>Table S1_references</vt:lpstr>
      <vt:lpstr>'Table 1_sites'!Print_Area</vt:lpstr>
      <vt:lpstr>'Table 2_records'!Print_Area</vt:lpstr>
      <vt:lpstr>'Table S1_rejected'!Print_Area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Darrell Kaufman</dc:creator>
  <cp:lastModifiedBy>Ruijian Gou</cp:lastModifiedBy>
  <cp:revision>0</cp:revision>
  <cp:lastPrinted>2014-06-06T06:12:23Z</cp:lastPrinted>
  <dcterms:created xsi:type="dcterms:W3CDTF">2013-11-15T12:28:44Z</dcterms:created>
  <dcterms:modified xsi:type="dcterms:W3CDTF">2026-03-30T05:26:56Z</dcterms:modified>
</cp:coreProperties>
</file>